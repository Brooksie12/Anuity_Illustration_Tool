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lbro\Documents\GitHub\"/>
    </mc:Choice>
  </mc:AlternateContent>
  <xr:revisionPtr revIDLastSave="0" documentId="13_ncr:1_{F42723F3-FC2C-4D0D-AAEC-0A27F338C8D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lculator" sheetId="1" r:id="rId1"/>
    <sheet name="Block of Business" sheetId="2" r:id="rId2"/>
    <sheet name="Data" sheetId="3" r:id="rId3"/>
    <sheet name="Graphs" sheetId="4" r:id="rId4"/>
    <sheet name="Plan Description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vi+Ealx3TiNg+zdIHQFt/S6EYjT/PkFS6xps3g3H84="/>
    </ext>
  </extLst>
</workbook>
</file>

<file path=xl/calcChain.xml><?xml version="1.0" encoding="utf-8"?>
<calcChain xmlns="http://schemas.openxmlformats.org/spreadsheetml/2006/main">
  <c r="CB10" i="3" l="1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CC9" i="3"/>
  <c r="CC8" i="3"/>
  <c r="CC7" i="3"/>
  <c r="CC6" i="3"/>
  <c r="CC5" i="3"/>
  <c r="CC4" i="3"/>
  <c r="CC3" i="3"/>
  <c r="B16" i="1"/>
  <c r="B14" i="1"/>
  <c r="D6" i="1" s="1"/>
  <c r="D7" i="1" l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B18" i="1"/>
  <c r="E6" i="1"/>
  <c r="F6" i="1" l="1"/>
  <c r="E7" i="1"/>
  <c r="F7" i="1" l="1"/>
  <c r="E8" i="1"/>
  <c r="F8" i="1" l="1"/>
  <c r="E9" i="1"/>
  <c r="F9" i="1" l="1"/>
  <c r="E10" i="1"/>
  <c r="F10" i="1" l="1"/>
  <c r="E11" i="1"/>
  <c r="F11" i="1" l="1"/>
  <c r="E13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E26" i="1" l="1"/>
  <c r="E27" i="1" l="1"/>
  <c r="E28" i="1" l="1"/>
  <c r="E29" i="1" l="1"/>
  <c r="E30" i="1" l="1"/>
  <c r="E31" i="1" l="1"/>
  <c r="E32" i="1" l="1"/>
  <c r="E33" i="1" l="1"/>
  <c r="E34" i="1" l="1"/>
  <c r="E35" i="1" l="1"/>
  <c r="E36" i="1" l="1"/>
  <c r="E37" i="1" l="1"/>
  <c r="E38" i="1" l="1"/>
  <c r="F38" i="1" s="1"/>
  <c r="E39" i="1" l="1"/>
  <c r="F39" i="1" s="1"/>
  <c r="E40" i="1" l="1"/>
  <c r="F40" i="1" s="1"/>
  <c r="E41" i="1" l="1"/>
  <c r="F41" i="1" s="1"/>
  <c r="E42" i="1" l="1"/>
  <c r="F42" i="1" s="1"/>
  <c r="E43" i="1" l="1"/>
  <c r="F43" i="1" s="1"/>
  <c r="E44" i="1" l="1"/>
  <c r="F44" i="1" s="1"/>
  <c r="E45" i="1" l="1"/>
  <c r="F45" i="1" s="1"/>
  <c r="E46" i="1" l="1"/>
  <c r="F46" i="1" s="1"/>
  <c r="E47" i="1" l="1"/>
  <c r="F47" i="1" s="1"/>
  <c r="E48" i="1" l="1"/>
  <c r="F48" i="1" s="1"/>
  <c r="E49" i="1" l="1"/>
  <c r="F49" i="1" s="1"/>
  <c r="E50" i="1" l="1"/>
  <c r="F50" i="1" s="1"/>
  <c r="E51" i="1" l="1"/>
  <c r="F51" i="1" s="1"/>
  <c r="E52" i="1" l="1"/>
  <c r="F52" i="1" s="1"/>
  <c r="E53" i="1" l="1"/>
  <c r="F53" i="1" s="1"/>
  <c r="H50" i="1" l="1"/>
  <c r="E54" i="1"/>
  <c r="F54" i="1" s="1"/>
  <c r="H51" i="1"/>
  <c r="E55" i="1" l="1"/>
  <c r="F55" i="1" s="1"/>
  <c r="E56" i="1" l="1"/>
  <c r="F56" i="1" s="1"/>
  <c r="E57" i="1" l="1"/>
  <c r="F57" i="1" s="1"/>
  <c r="E58" i="1" l="1"/>
  <c r="F58" i="1" s="1"/>
  <c r="E59" i="1" l="1"/>
  <c r="F59" i="1" s="1"/>
  <c r="E60" i="1" l="1"/>
  <c r="F60" i="1" s="1"/>
  <c r="E61" i="1" l="1"/>
  <c r="F61" i="1" s="1"/>
  <c r="E62" i="1" l="1"/>
  <c r="F62" i="1" s="1"/>
  <c r="E63" i="1" l="1"/>
  <c r="F63" i="1" s="1"/>
  <c r="E64" i="1" l="1"/>
  <c r="F64" i="1" s="1"/>
  <c r="E65" i="1" l="1"/>
  <c r="F65" i="1" s="1"/>
  <c r="E66" i="1" l="1"/>
  <c r="F66" i="1" s="1"/>
  <c r="E67" i="1" l="1"/>
  <c r="F67" i="1" s="1"/>
  <c r="E68" i="1" l="1"/>
  <c r="F68" i="1" s="1"/>
  <c r="E69" i="1" l="1"/>
  <c r="F69" i="1" s="1"/>
  <c r="E70" i="1" l="1"/>
  <c r="F70" i="1" s="1"/>
  <c r="E71" i="1" l="1"/>
  <c r="F71" i="1" s="1"/>
  <c r="E72" i="1" l="1"/>
  <c r="F72" i="1" s="1"/>
  <c r="E73" i="1" l="1"/>
  <c r="F73" i="1" s="1"/>
  <c r="E74" i="1" l="1"/>
  <c r="F74" i="1" s="1"/>
  <c r="E75" i="1" l="1"/>
  <c r="F75" i="1" s="1"/>
  <c r="E76" i="1" l="1"/>
  <c r="F76" i="1" s="1"/>
  <c r="E12" i="1"/>
  <c r="F12" i="1" s="1"/>
  <c r="F13" i="1" s="1"/>
  <c r="E14" i="1"/>
  <c r="F14" i="1" l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B20" i="1" l="1"/>
  <c r="B22" i="1" s="1"/>
</calcChain>
</file>

<file path=xl/sharedStrings.xml><?xml version="1.0" encoding="utf-8"?>
<sst xmlns="http://schemas.openxmlformats.org/spreadsheetml/2006/main" count="252" uniqueCount="139">
  <si>
    <t>Input</t>
  </si>
  <si>
    <t xml:space="preserve"> Plan Option </t>
  </si>
  <si>
    <t>Plan 1</t>
  </si>
  <si>
    <t>Age</t>
  </si>
  <si>
    <t>Year of Plan</t>
  </si>
  <si>
    <t>Payment</t>
  </si>
  <si>
    <t>Start Age Choice</t>
  </si>
  <si>
    <t>End Age Choice</t>
  </si>
  <si>
    <t>Output</t>
  </si>
  <si>
    <t>Start Age of Payments</t>
  </si>
  <si>
    <t>End Age of Payments</t>
  </si>
  <si>
    <t>Number of Years of Payment</t>
  </si>
  <si>
    <t>Total Amount of Payment</t>
  </si>
  <si>
    <t>Average Payment per Year</t>
  </si>
  <si>
    <t>Client Name</t>
  </si>
  <si>
    <t>Plan #</t>
  </si>
  <si>
    <t>Current Age</t>
  </si>
  <si>
    <t>Age Payments Begin</t>
  </si>
  <si>
    <t>Years of Payment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</si>
  <si>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</si>
  <si>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</si>
  <si>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</si>
  <si>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</si>
  <si>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</si>
  <si>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</si>
  <si>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</si>
  <si>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</si>
  <si>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</si>
  <si>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</si>
  <si>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</si>
  <si>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</si>
  <si>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</si>
  <si>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</si>
  <si>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</si>
  <si>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</si>
  <si>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</si>
  <si>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</si>
  <si>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</si>
  <si>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</si>
  <si>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</si>
  <si>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</si>
  <si>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</si>
  <si>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</si>
  <si>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</si>
  <si>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</si>
  <si>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</si>
  <si>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</si>
  <si>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</si>
  <si>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</si>
  <si>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</si>
  <si>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</si>
  <si>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</si>
  <si>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</si>
  <si>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</si>
  <si>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</si>
  <si>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</si>
  <si>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</si>
  <si>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</si>
  <si>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</si>
  <si>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</si>
  <si>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</si>
  <si>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</si>
  <si>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</si>
  <si>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</si>
  <si>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</si>
  <si>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</si>
  <si>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</si>
  <si>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</si>
  <si>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</si>
  <si>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</si>
  <si>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</si>
  <si>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</si>
  <si>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</si>
  <si>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</si>
  <si>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</si>
  <si>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</si>
  <si>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</si>
  <si>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</si>
  <si>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</si>
  <si>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</si>
  <si>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</si>
  <si>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</si>
  <si>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</si>
  <si>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</si>
  <si>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</si>
  <si>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</si>
  <si>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</si>
  <si>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</si>
  <si>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</si>
  <si>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</si>
  <si>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</si>
  <si>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</si>
  <si>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</si>
  <si>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</si>
  <si>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</si>
  <si>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</si>
  <si>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</si>
  <si>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</si>
  <si>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</si>
  <si>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</si>
  <si>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</si>
  <si>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</si>
  <si>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</si>
  <si>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</si>
  <si>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</si>
  <si>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</si>
  <si>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</si>
  <si>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</si>
  <si>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</si>
  <si>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</si>
  <si>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</si>
  <si>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</si>
  <si>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</si>
  <si>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</si>
  <si>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</si>
  <si>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</si>
  <si>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</si>
  <si>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</si>
  <si>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</si>
  <si>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Total Payments Made</t>
  </si>
  <si>
    <t>Year</t>
  </si>
  <si>
    <t>Total</t>
  </si>
  <si>
    <t>Plan 2</t>
  </si>
  <si>
    <t>Sum of plans</t>
  </si>
  <si>
    <t>Plan 3</t>
  </si>
  <si>
    <t>Plan 4</t>
  </si>
  <si>
    <t>Plan 5</t>
  </si>
  <si>
    <t>Plan 6</t>
  </si>
  <si>
    <t>Plan 7</t>
  </si>
  <si>
    <t>total payments by plan number</t>
  </si>
  <si>
    <t>payments per year by plan</t>
  </si>
  <si>
    <t>total payment by year</t>
  </si>
  <si>
    <t>Client can choose when the payments will start and end and will be paid 15000 per year</t>
  </si>
  <si>
    <t>Client will be paid for 30 years starting at 65 an amount of 25000 each year</t>
  </si>
  <si>
    <t>Client can choose when payments will begin but they will last until the client reached 110 and will be for an amount of 7200 each year</t>
  </si>
  <si>
    <t>Client will be paid there age times 1000 each year from 60 to 100</t>
  </si>
  <si>
    <t>Client can choose a start and end age and will be paid 19000 for the first half of the payments and then 25000 for the second half</t>
  </si>
  <si>
    <t>Client can choose start and end age but will be paid a total of 100000 distributed evenly across each payment year</t>
  </si>
  <si>
    <t>Client can choose start and end age and will be paid 30000 on alternating years of the plan, starting at the first year chosen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</si>
</sst>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rgb="FF000000"/>
      <name val="Arial"/>
    </font>
    <font>
      <b/>
      <sz val="11"/>
      <color theme="1"/>
      <name val="Arial"/>
    </font>
    <font>
      <sz val="11"/>
      <color theme="1"/>
      <name val="Arial"/>
    </font>
    <font>
      <sz val="10"/>
      <color theme="1"/>
      <name val="Arial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6D7A8"/>
        <bgColor rgb="FFB6D7A8"/>
      </patternFill>
    </fill>
    <fill>
      <patternFill patternType="solid">
        <fgColor rgb="FFFFE599"/>
        <bgColor rgb="FFFFE599"/>
      </patternFill>
    </fill>
    <fill>
      <patternFill patternType="solid">
        <fgColor rgb="FF05C7E2"/>
        <bgColor rgb="FF05C7E2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2" fillId="0" borderId="0" xfId="0" applyFont="1"/>
    <xf numFmtId="0" fontId="5" fillId="0" borderId="0" xfId="0" applyFont="1"/>
  </cellXfs>
  <cellStyles count="1">
    <cellStyle name="Normal" xfId="0" builtinId="0"/>
  </cellStyles>
  <dxfs count="9">
    <dxf>
      <font>
        <color rgb="FFFFFFFF"/>
      </font>
      <fill>
        <patternFill patternType="solid">
          <fgColor theme="0"/>
          <bgColor theme="0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E8E7FC"/>
          <bgColor rgb="FFE8E7F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4A7D6"/>
          <bgColor rgb="FFB4A7D6"/>
        </patternFill>
      </fill>
    </dxf>
    <dxf>
      <fill>
        <patternFill patternType="solid">
          <fgColor rgb="FFFEF8E3"/>
          <bgColor rgb="FFFEF8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7CB4D"/>
          <bgColor rgb="FFF7CB4D"/>
        </patternFill>
      </fill>
    </dxf>
  </dxfs>
  <tableStyles count="2">
    <tableStyle name="Calculator-style" pivot="0" count="3" xr9:uid="{00000000-0011-0000-FFFF-FFFF00000000}">
      <tableStyleElement type="headerRow" dxfId="8"/>
      <tableStyleElement type="firstRowStripe" dxfId="7"/>
      <tableStyleElement type="secondRowStripe" dxfId="6"/>
    </tableStyle>
    <tableStyle name="Calculator-style 2" pivot="0" count="3" xr9:uid="{00000000-0011-0000-FFFF-FFFF01000000}">
      <tableStyleElement type="headerRow" dxfId="5"/>
      <tableStyleElement type="firstRowStripe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GB" sz="1400" b="0" i="0">
                <a:solidFill>
                  <a:srgbClr val="757575"/>
                </a:solidFill>
                <a:latin typeface="+mn-lt"/>
              </a:rPr>
              <a:t>Total Payments by Plan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Plan 1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Data!$I$9</c:f>
              <c:strCache>
                <c:ptCount val="1"/>
                <c:pt idx="0">
                  <c:v>Plan 7</c:v>
                </c:pt>
              </c:strCache>
            </c:strRef>
          </c:cat>
          <c:val>
            <c:numRef>
              <c:f>Data!$CC$3</c:f>
              <c:numCache>
                <c:formatCode>General</c:formatCode>
                <c:ptCount val="1"/>
                <c:pt idx="0">
                  <c:v>4440000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304-40DA-BCAE-A6DD375F7E46}"/>
            </c:ext>
          </c:extLst>
        </c:ser>
        <c:ser>
          <c:idx val="1"/>
          <c:order val="1"/>
          <c:tx>
            <c:v>Plan 2</c:v>
          </c:tx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Data!$I$9</c:f>
              <c:strCache>
                <c:ptCount val="1"/>
                <c:pt idx="0">
                  <c:v>Plan 7</c:v>
                </c:pt>
              </c:strCache>
            </c:strRef>
          </c:cat>
          <c:val>
            <c:numRef>
              <c:f>Data!$CC$4</c:f>
              <c:numCache>
                <c:formatCode>General</c:formatCode>
                <c:ptCount val="1"/>
                <c:pt idx="0">
                  <c:v>12475000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1304-40DA-BCAE-A6DD375F7E46}"/>
            </c:ext>
          </c:extLst>
        </c:ser>
        <c:ser>
          <c:idx val="2"/>
          <c:order val="2"/>
          <c:tx>
            <c:v>Plan 3</c:v>
          </c:tx>
          <c:spPr>
            <a:solidFill>
              <a:srgbClr val="FBBC0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Data!$I$9</c:f>
              <c:strCache>
                <c:ptCount val="1"/>
                <c:pt idx="0">
                  <c:v>Plan 7</c:v>
                </c:pt>
              </c:strCache>
            </c:strRef>
          </c:cat>
          <c:val>
            <c:numRef>
              <c:f>Data!$CC$5</c:f>
              <c:numCache>
                <c:formatCode>General</c:formatCode>
                <c:ptCount val="1"/>
                <c:pt idx="0">
                  <c:v>7927200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1304-40DA-BCAE-A6DD375F7E46}"/>
            </c:ext>
          </c:extLst>
        </c:ser>
        <c:ser>
          <c:idx val="3"/>
          <c:order val="3"/>
          <c:tx>
            <c:v>Plan 4</c:v>
          </c:tx>
          <c:spPr>
            <a:solidFill>
              <a:srgbClr val="34A853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Data!$I$9</c:f>
              <c:strCache>
                <c:ptCount val="1"/>
                <c:pt idx="0">
                  <c:v>Plan 7</c:v>
                </c:pt>
              </c:strCache>
            </c:strRef>
          </c:cat>
          <c:val>
            <c:numRef>
              <c:f>Data!$CC$6</c:f>
              <c:numCache>
                <c:formatCode>General</c:formatCode>
                <c:ptCount val="1"/>
                <c:pt idx="0">
                  <c:v>29274000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1304-40DA-BCAE-A6DD375F7E46}"/>
            </c:ext>
          </c:extLst>
        </c:ser>
        <c:ser>
          <c:idx val="4"/>
          <c:order val="4"/>
          <c:tx>
            <c:v>Plan 5</c:v>
          </c:tx>
          <c:spPr>
            <a:solidFill>
              <a:srgbClr val="FF6D0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Data!$I$9</c:f>
              <c:strCache>
                <c:ptCount val="1"/>
                <c:pt idx="0">
                  <c:v>Plan 7</c:v>
                </c:pt>
              </c:strCache>
            </c:strRef>
          </c:cat>
          <c:val>
            <c:numRef>
              <c:f>Data!$CC$7</c:f>
              <c:numCache>
                <c:formatCode>General</c:formatCode>
                <c:ptCount val="1"/>
                <c:pt idx="0">
                  <c:v>3122000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1304-40DA-BCAE-A6DD375F7E46}"/>
            </c:ext>
          </c:extLst>
        </c:ser>
        <c:ser>
          <c:idx val="5"/>
          <c:order val="5"/>
          <c:tx>
            <c:v>Plan 6</c:v>
          </c:tx>
          <c:spPr>
            <a:solidFill>
              <a:srgbClr val="46BDC6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Data!$I$9</c:f>
              <c:strCache>
                <c:ptCount val="1"/>
                <c:pt idx="0">
                  <c:v>Plan 7</c:v>
                </c:pt>
              </c:strCache>
            </c:strRef>
          </c:cat>
          <c:val>
            <c:numRef>
              <c:f>Data!$CC$8</c:f>
              <c:numCache>
                <c:formatCode>General</c:formatCode>
                <c:ptCount val="1"/>
                <c:pt idx="0">
                  <c:v>500000.00000000023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1304-40DA-BCAE-A6DD375F7E46}"/>
            </c:ext>
          </c:extLst>
        </c:ser>
        <c:ser>
          <c:idx val="6"/>
          <c:order val="6"/>
          <c:tx>
            <c:v>Plan 7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Data!$I$9</c:f>
              <c:strCache>
                <c:ptCount val="1"/>
                <c:pt idx="0">
                  <c:v>Plan 7</c:v>
                </c:pt>
              </c:strCache>
            </c:strRef>
          </c:cat>
          <c:val>
            <c:numRef>
              <c:f>Data!$CC$9</c:f>
              <c:numCache>
                <c:formatCode>General</c:formatCode>
                <c:ptCount val="1"/>
                <c:pt idx="0">
                  <c:v>3060000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1304-40DA-BCAE-A6DD375F7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141985"/>
        <c:axId val="1249134411"/>
      </c:barChart>
      <c:catAx>
        <c:axId val="19551419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49134411"/>
        <c:crosses val="autoZero"/>
        <c:auto val="1"/>
        <c:lblAlgn val="ctr"/>
        <c:lblOffset val="100"/>
        <c:noMultiLvlLbl val="1"/>
      </c:catAx>
      <c:valAx>
        <c:axId val="12491344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5514198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GB" sz="1400" b="0" i="0">
                <a:solidFill>
                  <a:srgbClr val="757575"/>
                </a:solidFill>
                <a:latin typeface="+mn-lt"/>
              </a:rPr>
              <a:t>Total Payments per Year by Plan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Plan 1</c:v>
          </c:tx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Data!$J$3:$CB$3</c:f>
              <c:numCache>
                <c:formatCode>General</c:formatCode>
                <c:ptCount val="71"/>
                <c:pt idx="0">
                  <c:v>15000</c:v>
                </c:pt>
                <c:pt idx="1">
                  <c:v>75000</c:v>
                </c:pt>
                <c:pt idx="2">
                  <c:v>75000</c:v>
                </c:pt>
                <c:pt idx="3">
                  <c:v>105000</c:v>
                </c:pt>
                <c:pt idx="4">
                  <c:v>105000</c:v>
                </c:pt>
                <c:pt idx="5">
                  <c:v>105000</c:v>
                </c:pt>
                <c:pt idx="6">
                  <c:v>165000</c:v>
                </c:pt>
                <c:pt idx="7">
                  <c:v>150000</c:v>
                </c:pt>
                <c:pt idx="8">
                  <c:v>150000</c:v>
                </c:pt>
                <c:pt idx="9">
                  <c:v>195000</c:v>
                </c:pt>
                <c:pt idx="10">
                  <c:v>240000</c:v>
                </c:pt>
                <c:pt idx="11">
                  <c:v>240000</c:v>
                </c:pt>
                <c:pt idx="12">
                  <c:v>255000</c:v>
                </c:pt>
                <c:pt idx="13">
                  <c:v>255000</c:v>
                </c:pt>
                <c:pt idx="14">
                  <c:v>255000</c:v>
                </c:pt>
                <c:pt idx="15">
                  <c:v>255000</c:v>
                </c:pt>
                <c:pt idx="16">
                  <c:v>240000</c:v>
                </c:pt>
                <c:pt idx="17">
                  <c:v>225000</c:v>
                </c:pt>
                <c:pt idx="18">
                  <c:v>210000</c:v>
                </c:pt>
                <c:pt idx="19">
                  <c:v>180000</c:v>
                </c:pt>
                <c:pt idx="20">
                  <c:v>150000</c:v>
                </c:pt>
                <c:pt idx="21">
                  <c:v>135000</c:v>
                </c:pt>
                <c:pt idx="22">
                  <c:v>105000</c:v>
                </c:pt>
                <c:pt idx="23">
                  <c:v>90000</c:v>
                </c:pt>
                <c:pt idx="24">
                  <c:v>90000</c:v>
                </c:pt>
                <c:pt idx="25">
                  <c:v>90000</c:v>
                </c:pt>
                <c:pt idx="26">
                  <c:v>90000</c:v>
                </c:pt>
                <c:pt idx="27">
                  <c:v>45000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6-4C72-BC9F-487837F6C122}"/>
            </c:ext>
          </c:extLst>
        </c:ser>
        <c:ser>
          <c:idx val="1"/>
          <c:order val="1"/>
          <c:tx>
            <c:v>Plan 2</c:v>
          </c:tx>
          <c:spPr>
            <a:ln w="28575" cmpd="sng"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Data!$J$4:$CB$4</c:f>
              <c:numCache>
                <c:formatCode>General</c:formatCode>
                <c:ptCount val="71"/>
                <c:pt idx="0">
                  <c:v>75000</c:v>
                </c:pt>
                <c:pt idx="1">
                  <c:v>75000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125000</c:v>
                </c:pt>
                <c:pt idx="6">
                  <c:v>125000</c:v>
                </c:pt>
                <c:pt idx="7">
                  <c:v>200000</c:v>
                </c:pt>
                <c:pt idx="8">
                  <c:v>200000</c:v>
                </c:pt>
                <c:pt idx="9">
                  <c:v>225000</c:v>
                </c:pt>
                <c:pt idx="10">
                  <c:v>225000</c:v>
                </c:pt>
                <c:pt idx="11">
                  <c:v>250000</c:v>
                </c:pt>
                <c:pt idx="12">
                  <c:v>250000</c:v>
                </c:pt>
                <c:pt idx="13">
                  <c:v>275000</c:v>
                </c:pt>
                <c:pt idx="14">
                  <c:v>275000</c:v>
                </c:pt>
                <c:pt idx="15">
                  <c:v>275000</c:v>
                </c:pt>
                <c:pt idx="16">
                  <c:v>325000</c:v>
                </c:pt>
                <c:pt idx="17">
                  <c:v>325000</c:v>
                </c:pt>
                <c:pt idx="18">
                  <c:v>350000</c:v>
                </c:pt>
                <c:pt idx="19">
                  <c:v>375000</c:v>
                </c:pt>
                <c:pt idx="20">
                  <c:v>375000</c:v>
                </c:pt>
                <c:pt idx="21">
                  <c:v>375000</c:v>
                </c:pt>
                <c:pt idx="22">
                  <c:v>375000</c:v>
                </c:pt>
                <c:pt idx="23">
                  <c:v>400000</c:v>
                </c:pt>
                <c:pt idx="24">
                  <c:v>425000</c:v>
                </c:pt>
                <c:pt idx="25">
                  <c:v>400000</c:v>
                </c:pt>
                <c:pt idx="26">
                  <c:v>375000</c:v>
                </c:pt>
                <c:pt idx="27">
                  <c:v>375000</c:v>
                </c:pt>
                <c:pt idx="28">
                  <c:v>350000</c:v>
                </c:pt>
                <c:pt idx="29">
                  <c:v>350000</c:v>
                </c:pt>
                <c:pt idx="30">
                  <c:v>350000</c:v>
                </c:pt>
                <c:pt idx="31">
                  <c:v>350000</c:v>
                </c:pt>
                <c:pt idx="32">
                  <c:v>325000</c:v>
                </c:pt>
                <c:pt idx="33">
                  <c:v>325000</c:v>
                </c:pt>
                <c:pt idx="34">
                  <c:v>325000</c:v>
                </c:pt>
                <c:pt idx="35">
                  <c:v>300000</c:v>
                </c:pt>
                <c:pt idx="36">
                  <c:v>300000</c:v>
                </c:pt>
                <c:pt idx="37">
                  <c:v>225000</c:v>
                </c:pt>
                <c:pt idx="38">
                  <c:v>225000</c:v>
                </c:pt>
                <c:pt idx="39">
                  <c:v>200000</c:v>
                </c:pt>
                <c:pt idx="40">
                  <c:v>200000</c:v>
                </c:pt>
                <c:pt idx="41">
                  <c:v>175000</c:v>
                </c:pt>
                <c:pt idx="42">
                  <c:v>175000</c:v>
                </c:pt>
                <c:pt idx="43">
                  <c:v>150000</c:v>
                </c:pt>
                <c:pt idx="44">
                  <c:v>150000</c:v>
                </c:pt>
                <c:pt idx="45">
                  <c:v>150000</c:v>
                </c:pt>
                <c:pt idx="46">
                  <c:v>100000</c:v>
                </c:pt>
                <c:pt idx="47">
                  <c:v>100000</c:v>
                </c:pt>
                <c:pt idx="48">
                  <c:v>75000</c:v>
                </c:pt>
                <c:pt idx="49">
                  <c:v>50000</c:v>
                </c:pt>
                <c:pt idx="50">
                  <c:v>50000</c:v>
                </c:pt>
                <c:pt idx="51">
                  <c:v>50000</c:v>
                </c:pt>
                <c:pt idx="52">
                  <c:v>50000</c:v>
                </c:pt>
                <c:pt idx="53">
                  <c:v>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6-4C72-BC9F-487837F6C122}"/>
            </c:ext>
          </c:extLst>
        </c:ser>
        <c:ser>
          <c:idx val="2"/>
          <c:order val="2"/>
          <c:tx>
            <c:v>Plan 3</c:v>
          </c:tx>
          <c:spPr>
            <a:ln w="28575" cmpd="sng">
              <a:solidFill>
                <a:schemeClr val="accent4"/>
              </a:solidFill>
            </a:ln>
          </c:spPr>
          <c:marker>
            <c:symbol val="none"/>
          </c:marker>
          <c:val>
            <c:numRef>
              <c:f>Data!$J$5:$CB$5</c:f>
              <c:numCache>
                <c:formatCode>General</c:formatCode>
                <c:ptCount val="71"/>
                <c:pt idx="0">
                  <c:v>14400</c:v>
                </c:pt>
                <c:pt idx="1">
                  <c:v>28800</c:v>
                </c:pt>
                <c:pt idx="2">
                  <c:v>43200</c:v>
                </c:pt>
                <c:pt idx="3">
                  <c:v>57600</c:v>
                </c:pt>
                <c:pt idx="4">
                  <c:v>64800</c:v>
                </c:pt>
                <c:pt idx="5">
                  <c:v>72000</c:v>
                </c:pt>
                <c:pt idx="6">
                  <c:v>72000</c:v>
                </c:pt>
                <c:pt idx="7">
                  <c:v>79200</c:v>
                </c:pt>
                <c:pt idx="8">
                  <c:v>79200</c:v>
                </c:pt>
                <c:pt idx="9">
                  <c:v>86400</c:v>
                </c:pt>
                <c:pt idx="10">
                  <c:v>108000</c:v>
                </c:pt>
                <c:pt idx="11">
                  <c:v>115200</c:v>
                </c:pt>
                <c:pt idx="12">
                  <c:v>136800</c:v>
                </c:pt>
                <c:pt idx="13">
                  <c:v>151200</c:v>
                </c:pt>
                <c:pt idx="14">
                  <c:v>158400</c:v>
                </c:pt>
                <c:pt idx="15">
                  <c:v>165600</c:v>
                </c:pt>
                <c:pt idx="16">
                  <c:v>165600</c:v>
                </c:pt>
                <c:pt idx="17">
                  <c:v>165600</c:v>
                </c:pt>
                <c:pt idx="18">
                  <c:v>165600</c:v>
                </c:pt>
                <c:pt idx="19">
                  <c:v>165600</c:v>
                </c:pt>
                <c:pt idx="20">
                  <c:v>165600</c:v>
                </c:pt>
                <c:pt idx="21">
                  <c:v>165600</c:v>
                </c:pt>
                <c:pt idx="22">
                  <c:v>165600</c:v>
                </c:pt>
                <c:pt idx="23">
                  <c:v>165600</c:v>
                </c:pt>
                <c:pt idx="24">
                  <c:v>165600</c:v>
                </c:pt>
                <c:pt idx="25">
                  <c:v>165600</c:v>
                </c:pt>
                <c:pt idx="26">
                  <c:v>165600</c:v>
                </c:pt>
                <c:pt idx="27">
                  <c:v>165600</c:v>
                </c:pt>
                <c:pt idx="28">
                  <c:v>165600</c:v>
                </c:pt>
                <c:pt idx="29">
                  <c:v>165600</c:v>
                </c:pt>
                <c:pt idx="30">
                  <c:v>165600</c:v>
                </c:pt>
                <c:pt idx="31">
                  <c:v>165600</c:v>
                </c:pt>
                <c:pt idx="32">
                  <c:v>165600</c:v>
                </c:pt>
                <c:pt idx="33">
                  <c:v>165600</c:v>
                </c:pt>
                <c:pt idx="34">
                  <c:v>165600</c:v>
                </c:pt>
                <c:pt idx="35">
                  <c:v>165600</c:v>
                </c:pt>
                <c:pt idx="36">
                  <c:v>165600</c:v>
                </c:pt>
                <c:pt idx="37">
                  <c:v>165600</c:v>
                </c:pt>
                <c:pt idx="38">
                  <c:v>165600</c:v>
                </c:pt>
                <c:pt idx="39">
                  <c:v>165600</c:v>
                </c:pt>
                <c:pt idx="40">
                  <c:v>165600</c:v>
                </c:pt>
                <c:pt idx="41">
                  <c:v>158400</c:v>
                </c:pt>
                <c:pt idx="42">
                  <c:v>158400</c:v>
                </c:pt>
                <c:pt idx="43">
                  <c:v>144000</c:v>
                </c:pt>
                <c:pt idx="44">
                  <c:v>136800</c:v>
                </c:pt>
                <c:pt idx="45">
                  <c:v>122400</c:v>
                </c:pt>
                <c:pt idx="46">
                  <c:v>122400</c:v>
                </c:pt>
                <c:pt idx="47">
                  <c:v>122400</c:v>
                </c:pt>
                <c:pt idx="48">
                  <c:v>108000</c:v>
                </c:pt>
                <c:pt idx="49">
                  <c:v>108000</c:v>
                </c:pt>
                <c:pt idx="50">
                  <c:v>100800</c:v>
                </c:pt>
                <c:pt idx="51">
                  <c:v>100800</c:v>
                </c:pt>
                <c:pt idx="52">
                  <c:v>100800</c:v>
                </c:pt>
                <c:pt idx="53">
                  <c:v>93600</c:v>
                </c:pt>
                <c:pt idx="54">
                  <c:v>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  <c:pt idx="70">
                  <c:v>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86-4C72-BC9F-487837F6C122}"/>
            </c:ext>
          </c:extLst>
        </c:ser>
        <c:ser>
          <c:idx val="3"/>
          <c:order val="3"/>
          <c:tx>
            <c:v>Plan 4</c:v>
          </c:tx>
          <c:spPr>
            <a:ln w="28575" cmpd="sng">
              <a:solidFill>
                <a:schemeClr val="accent5"/>
              </a:solidFill>
            </a:ln>
          </c:spPr>
          <c:marker>
            <c:symbol val="none"/>
          </c:marker>
          <c:val>
            <c:numRef>
              <c:f>Data!$J$6:$CB$6</c:f>
              <c:numCache>
                <c:formatCode>General</c:formatCode>
                <c:ptCount val="71"/>
                <c:pt idx="0">
                  <c:v>64000</c:v>
                </c:pt>
                <c:pt idx="1">
                  <c:v>65000</c:v>
                </c:pt>
                <c:pt idx="2">
                  <c:v>126000</c:v>
                </c:pt>
                <c:pt idx="3">
                  <c:v>128000</c:v>
                </c:pt>
                <c:pt idx="4">
                  <c:v>190000</c:v>
                </c:pt>
                <c:pt idx="5">
                  <c:v>253000</c:v>
                </c:pt>
                <c:pt idx="6">
                  <c:v>257000</c:v>
                </c:pt>
                <c:pt idx="7">
                  <c:v>321000</c:v>
                </c:pt>
                <c:pt idx="8">
                  <c:v>326000</c:v>
                </c:pt>
                <c:pt idx="9">
                  <c:v>391000</c:v>
                </c:pt>
                <c:pt idx="10">
                  <c:v>517000</c:v>
                </c:pt>
                <c:pt idx="11">
                  <c:v>525000</c:v>
                </c:pt>
                <c:pt idx="12">
                  <c:v>533000</c:v>
                </c:pt>
                <c:pt idx="13">
                  <c:v>541000</c:v>
                </c:pt>
                <c:pt idx="14">
                  <c:v>609000</c:v>
                </c:pt>
                <c:pt idx="15">
                  <c:v>618000</c:v>
                </c:pt>
                <c:pt idx="16">
                  <c:v>627000</c:v>
                </c:pt>
                <c:pt idx="17">
                  <c:v>636000</c:v>
                </c:pt>
                <c:pt idx="18">
                  <c:v>645000</c:v>
                </c:pt>
                <c:pt idx="19">
                  <c:v>654000</c:v>
                </c:pt>
                <c:pt idx="20">
                  <c:v>663000</c:v>
                </c:pt>
                <c:pt idx="21">
                  <c:v>672000</c:v>
                </c:pt>
                <c:pt idx="22">
                  <c:v>681000</c:v>
                </c:pt>
                <c:pt idx="23">
                  <c:v>690000</c:v>
                </c:pt>
                <c:pt idx="24">
                  <c:v>699000</c:v>
                </c:pt>
                <c:pt idx="25">
                  <c:v>708000</c:v>
                </c:pt>
                <c:pt idx="26">
                  <c:v>717000</c:v>
                </c:pt>
                <c:pt idx="27">
                  <c:v>726000</c:v>
                </c:pt>
                <c:pt idx="28">
                  <c:v>735000</c:v>
                </c:pt>
                <c:pt idx="29">
                  <c:v>744000</c:v>
                </c:pt>
                <c:pt idx="30">
                  <c:v>753000</c:v>
                </c:pt>
                <c:pt idx="31">
                  <c:v>762000</c:v>
                </c:pt>
                <c:pt idx="32">
                  <c:v>771000</c:v>
                </c:pt>
                <c:pt idx="33">
                  <c:v>780000</c:v>
                </c:pt>
                <c:pt idx="34">
                  <c:v>789000</c:v>
                </c:pt>
                <c:pt idx="35">
                  <c:v>798000</c:v>
                </c:pt>
                <c:pt idx="36">
                  <c:v>807000</c:v>
                </c:pt>
                <c:pt idx="37">
                  <c:v>715000</c:v>
                </c:pt>
                <c:pt idx="38">
                  <c:v>723000</c:v>
                </c:pt>
                <c:pt idx="39">
                  <c:v>731000</c:v>
                </c:pt>
                <c:pt idx="40">
                  <c:v>739000</c:v>
                </c:pt>
                <c:pt idx="41">
                  <c:v>747000</c:v>
                </c:pt>
                <c:pt idx="42">
                  <c:v>755000</c:v>
                </c:pt>
                <c:pt idx="43">
                  <c:v>662000</c:v>
                </c:pt>
                <c:pt idx="44">
                  <c:v>669000</c:v>
                </c:pt>
                <c:pt idx="45">
                  <c:v>575000</c:v>
                </c:pt>
                <c:pt idx="46">
                  <c:v>480000</c:v>
                </c:pt>
                <c:pt idx="47">
                  <c:v>485000</c:v>
                </c:pt>
                <c:pt idx="48">
                  <c:v>389000</c:v>
                </c:pt>
                <c:pt idx="49">
                  <c:v>393000</c:v>
                </c:pt>
                <c:pt idx="50">
                  <c:v>296000</c:v>
                </c:pt>
                <c:pt idx="51">
                  <c:v>97000</c:v>
                </c:pt>
                <c:pt idx="52">
                  <c:v>98000</c:v>
                </c:pt>
                <c:pt idx="53">
                  <c:v>99000</c:v>
                </c:pt>
                <c:pt idx="54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86-4C72-BC9F-487837F6C122}"/>
            </c:ext>
          </c:extLst>
        </c:ser>
        <c:ser>
          <c:idx val="4"/>
          <c:order val="4"/>
          <c:tx>
            <c:v>Plan 5</c:v>
          </c:tx>
          <c:spPr>
            <a:ln w="28575" cmpd="sng">
              <a:solidFill>
                <a:schemeClr val="accent6"/>
              </a:solidFill>
            </a:ln>
          </c:spPr>
          <c:marker>
            <c:symbol val="none"/>
          </c:marker>
          <c:val>
            <c:numRef>
              <c:f>Data!$J$7:$CB$7</c:f>
              <c:numCache>
                <c:formatCode>General</c:formatCode>
                <c:ptCount val="71"/>
                <c:pt idx="0">
                  <c:v>19000</c:v>
                </c:pt>
                <c:pt idx="1">
                  <c:v>19000</c:v>
                </c:pt>
                <c:pt idx="2">
                  <c:v>19000</c:v>
                </c:pt>
                <c:pt idx="3">
                  <c:v>63000</c:v>
                </c:pt>
                <c:pt idx="4">
                  <c:v>82000</c:v>
                </c:pt>
                <c:pt idx="5">
                  <c:v>101000</c:v>
                </c:pt>
                <c:pt idx="6">
                  <c:v>107000</c:v>
                </c:pt>
                <c:pt idx="7">
                  <c:v>126000</c:v>
                </c:pt>
                <c:pt idx="8">
                  <c:v>101000</c:v>
                </c:pt>
                <c:pt idx="9">
                  <c:v>120000</c:v>
                </c:pt>
                <c:pt idx="10">
                  <c:v>95000</c:v>
                </c:pt>
                <c:pt idx="11">
                  <c:v>101000</c:v>
                </c:pt>
                <c:pt idx="12">
                  <c:v>101000</c:v>
                </c:pt>
                <c:pt idx="13">
                  <c:v>145000</c:v>
                </c:pt>
                <c:pt idx="14">
                  <c:v>145000</c:v>
                </c:pt>
                <c:pt idx="15">
                  <c:v>157000</c:v>
                </c:pt>
                <c:pt idx="16">
                  <c:v>163000</c:v>
                </c:pt>
                <c:pt idx="17">
                  <c:v>163000</c:v>
                </c:pt>
                <c:pt idx="18">
                  <c:v>163000</c:v>
                </c:pt>
                <c:pt idx="19">
                  <c:v>144000</c:v>
                </c:pt>
                <c:pt idx="20">
                  <c:v>144000</c:v>
                </c:pt>
                <c:pt idx="21">
                  <c:v>119000</c:v>
                </c:pt>
                <c:pt idx="22">
                  <c:v>125000</c:v>
                </c:pt>
                <c:pt idx="23">
                  <c:v>125000</c:v>
                </c:pt>
                <c:pt idx="24">
                  <c:v>100000</c:v>
                </c:pt>
                <c:pt idx="25">
                  <c:v>100000</c:v>
                </c:pt>
                <c:pt idx="26">
                  <c:v>75000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  <c:pt idx="30">
                  <c:v>25000</c:v>
                </c:pt>
                <c:pt idx="31">
                  <c:v>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86-4C72-BC9F-487837F6C122}"/>
            </c:ext>
          </c:extLst>
        </c:ser>
        <c:ser>
          <c:idx val="5"/>
          <c:order val="5"/>
          <c:tx>
            <c:v>Plan 6</c:v>
          </c:tx>
          <c:spPr>
            <a:ln w="28575"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Data!$J$8:$CB$8</c:f>
              <c:numCache>
                <c:formatCode>General</c:formatCode>
                <c:ptCount val="71"/>
                <c:pt idx="2">
                  <c:v>16666.666666666668</c:v>
                </c:pt>
                <c:pt idx="3">
                  <c:v>16666.666666666668</c:v>
                </c:pt>
                <c:pt idx="4">
                  <c:v>16666.666666666668</c:v>
                </c:pt>
                <c:pt idx="5">
                  <c:v>16666.666666666668</c:v>
                </c:pt>
                <c:pt idx="6">
                  <c:v>16666.666666666668</c:v>
                </c:pt>
                <c:pt idx="7">
                  <c:v>21428.571428571428</c:v>
                </c:pt>
                <c:pt idx="8">
                  <c:v>9523.8095238095229</c:v>
                </c:pt>
                <c:pt idx="9">
                  <c:v>9523.8095238095229</c:v>
                </c:pt>
                <c:pt idx="10">
                  <c:v>9523.8095238095229</c:v>
                </c:pt>
                <c:pt idx="11">
                  <c:v>9523.8095238095229</c:v>
                </c:pt>
                <c:pt idx="12">
                  <c:v>9523.8095238095229</c:v>
                </c:pt>
                <c:pt idx="13">
                  <c:v>14786.967418546366</c:v>
                </c:pt>
                <c:pt idx="14">
                  <c:v>27286.96741854637</c:v>
                </c:pt>
                <c:pt idx="15">
                  <c:v>27286.96741854637</c:v>
                </c:pt>
                <c:pt idx="16">
                  <c:v>27286.96741854637</c:v>
                </c:pt>
                <c:pt idx="17">
                  <c:v>27286.96741854637</c:v>
                </c:pt>
                <c:pt idx="18">
                  <c:v>27286.96741854637</c:v>
                </c:pt>
                <c:pt idx="19">
                  <c:v>27286.96741854637</c:v>
                </c:pt>
                <c:pt idx="20">
                  <c:v>27286.96741854637</c:v>
                </c:pt>
                <c:pt idx="21">
                  <c:v>27286.96741854637</c:v>
                </c:pt>
                <c:pt idx="22">
                  <c:v>14786.967418546366</c:v>
                </c:pt>
                <c:pt idx="23">
                  <c:v>14786.967418546366</c:v>
                </c:pt>
                <c:pt idx="24">
                  <c:v>14786.967418546366</c:v>
                </c:pt>
                <c:pt idx="25">
                  <c:v>14786.967418546366</c:v>
                </c:pt>
                <c:pt idx="26">
                  <c:v>14786.967418546366</c:v>
                </c:pt>
                <c:pt idx="27">
                  <c:v>14786.967418546366</c:v>
                </c:pt>
                <c:pt idx="28">
                  <c:v>10025.062656641603</c:v>
                </c:pt>
                <c:pt idx="29">
                  <c:v>5263.1578947368425</c:v>
                </c:pt>
                <c:pt idx="30">
                  <c:v>5263.1578947368425</c:v>
                </c:pt>
                <c:pt idx="31">
                  <c:v>5263.1578947368425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86-4C72-BC9F-487837F6C122}"/>
            </c:ext>
          </c:extLst>
        </c:ser>
        <c:ser>
          <c:idx val="6"/>
          <c:order val="6"/>
          <c:tx>
            <c:v>Plan 7</c:v>
          </c:tx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Data!$J$9:$CB$9</c:f>
              <c:numCache>
                <c:formatCode>General</c:formatCode>
                <c:ptCount val="71"/>
                <c:pt idx="0">
                  <c:v>30000</c:v>
                </c:pt>
                <c:pt idx="1">
                  <c:v>60000</c:v>
                </c:pt>
                <c:pt idx="2">
                  <c:v>90000</c:v>
                </c:pt>
                <c:pt idx="3">
                  <c:v>90000</c:v>
                </c:pt>
                <c:pt idx="4">
                  <c:v>120000</c:v>
                </c:pt>
                <c:pt idx="5">
                  <c:v>90000</c:v>
                </c:pt>
                <c:pt idx="6">
                  <c:v>180000</c:v>
                </c:pt>
                <c:pt idx="7">
                  <c:v>90000</c:v>
                </c:pt>
                <c:pt idx="8">
                  <c:v>180000</c:v>
                </c:pt>
                <c:pt idx="9">
                  <c:v>120000</c:v>
                </c:pt>
                <c:pt idx="10">
                  <c:v>210000</c:v>
                </c:pt>
                <c:pt idx="11">
                  <c:v>120000</c:v>
                </c:pt>
                <c:pt idx="12">
                  <c:v>180000</c:v>
                </c:pt>
                <c:pt idx="13">
                  <c:v>90000</c:v>
                </c:pt>
                <c:pt idx="14">
                  <c:v>210000</c:v>
                </c:pt>
                <c:pt idx="15">
                  <c:v>120000</c:v>
                </c:pt>
                <c:pt idx="16">
                  <c:v>180000</c:v>
                </c:pt>
                <c:pt idx="17">
                  <c:v>120000</c:v>
                </c:pt>
                <c:pt idx="18">
                  <c:v>180000</c:v>
                </c:pt>
                <c:pt idx="19">
                  <c:v>90000</c:v>
                </c:pt>
                <c:pt idx="20">
                  <c:v>120000</c:v>
                </c:pt>
                <c:pt idx="21">
                  <c:v>90000</c:v>
                </c:pt>
                <c:pt idx="22">
                  <c:v>90000</c:v>
                </c:pt>
                <c:pt idx="23">
                  <c:v>60000</c:v>
                </c:pt>
                <c:pt idx="24">
                  <c:v>30000</c:v>
                </c:pt>
                <c:pt idx="25">
                  <c:v>30000</c:v>
                </c:pt>
                <c:pt idx="26">
                  <c:v>0</c:v>
                </c:pt>
                <c:pt idx="27">
                  <c:v>30000</c:v>
                </c:pt>
                <c:pt idx="28">
                  <c:v>0</c:v>
                </c:pt>
                <c:pt idx="29">
                  <c:v>30000</c:v>
                </c:pt>
                <c:pt idx="30">
                  <c:v>0</c:v>
                </c:pt>
                <c:pt idx="31">
                  <c:v>30000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86-4C72-BC9F-487837F6C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4749020"/>
        <c:axId val="1737724989"/>
      </c:lineChart>
      <c:catAx>
        <c:axId val="19747490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37724989"/>
        <c:crosses val="autoZero"/>
        <c:auto val="1"/>
        <c:lblAlgn val="ctr"/>
        <c:lblOffset val="100"/>
        <c:noMultiLvlLbl val="1"/>
      </c:catAx>
      <c:valAx>
        <c:axId val="173772498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7474902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GB" sz="1400" b="0" i="0">
                <a:solidFill>
                  <a:srgbClr val="757575"/>
                </a:solidFill>
                <a:latin typeface="+mn-lt"/>
              </a:rPr>
              <a:t>Total Payments per Year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Data!$J$10:$CB$10</c:f>
              <c:numCache>
                <c:formatCode>General</c:formatCode>
                <c:ptCount val="71"/>
                <c:pt idx="0">
                  <c:v>217400</c:v>
                </c:pt>
                <c:pt idx="1">
                  <c:v>322800</c:v>
                </c:pt>
                <c:pt idx="2">
                  <c:v>469866.66666666669</c:v>
                </c:pt>
                <c:pt idx="3">
                  <c:v>560266.66666666674</c:v>
                </c:pt>
                <c:pt idx="4">
                  <c:v>678466.66666666663</c:v>
                </c:pt>
                <c:pt idx="5">
                  <c:v>762666.66666666663</c:v>
                </c:pt>
                <c:pt idx="6">
                  <c:v>922666.66666666663</c:v>
                </c:pt>
                <c:pt idx="7">
                  <c:v>987628.57142857148</c:v>
                </c:pt>
                <c:pt idx="8">
                  <c:v>1045723.8095238095</c:v>
                </c:pt>
                <c:pt idx="9">
                  <c:v>1146923.8095238095</c:v>
                </c:pt>
                <c:pt idx="10">
                  <c:v>1404523.8095238095</c:v>
                </c:pt>
                <c:pt idx="11">
                  <c:v>1360723.8095238095</c:v>
                </c:pt>
                <c:pt idx="12">
                  <c:v>1465323.8095238095</c:v>
                </c:pt>
                <c:pt idx="13">
                  <c:v>1471986.9674185463</c:v>
                </c:pt>
                <c:pt idx="14">
                  <c:v>1679686.9674185463</c:v>
                </c:pt>
                <c:pt idx="15">
                  <c:v>1617886.9674185463</c:v>
                </c:pt>
                <c:pt idx="16">
                  <c:v>1727886.9674185463</c:v>
                </c:pt>
                <c:pt idx="17">
                  <c:v>1661886.9674185463</c:v>
                </c:pt>
                <c:pt idx="18">
                  <c:v>1740886.9674185463</c:v>
                </c:pt>
                <c:pt idx="19">
                  <c:v>1635886.9674185463</c:v>
                </c:pt>
                <c:pt idx="20">
                  <c:v>1644886.9674185463</c:v>
                </c:pt>
                <c:pt idx="21">
                  <c:v>1583886.9674185463</c:v>
                </c:pt>
                <c:pt idx="22">
                  <c:v>1556386.9674185463</c:v>
                </c:pt>
                <c:pt idx="23">
                  <c:v>1545386.9674185463</c:v>
                </c:pt>
                <c:pt idx="24">
                  <c:v>1524386.9674185463</c:v>
                </c:pt>
                <c:pt idx="25">
                  <c:v>1508386.9674185463</c:v>
                </c:pt>
                <c:pt idx="26">
                  <c:v>1437386.9674185463</c:v>
                </c:pt>
                <c:pt idx="27">
                  <c:v>1406386.9674185463</c:v>
                </c:pt>
                <c:pt idx="28">
                  <c:v>1340625.0626566417</c:v>
                </c:pt>
                <c:pt idx="29">
                  <c:v>1374863.1578947369</c:v>
                </c:pt>
                <c:pt idx="30">
                  <c:v>1328863.1578947369</c:v>
                </c:pt>
                <c:pt idx="31">
                  <c:v>1367863.1578947369</c:v>
                </c:pt>
                <c:pt idx="32">
                  <c:v>1291600</c:v>
                </c:pt>
                <c:pt idx="33">
                  <c:v>1270600</c:v>
                </c:pt>
                <c:pt idx="34">
                  <c:v>1279600</c:v>
                </c:pt>
                <c:pt idx="35">
                  <c:v>1263600</c:v>
                </c:pt>
                <c:pt idx="36">
                  <c:v>1272600</c:v>
                </c:pt>
                <c:pt idx="37">
                  <c:v>1105600</c:v>
                </c:pt>
                <c:pt idx="38">
                  <c:v>1113600</c:v>
                </c:pt>
                <c:pt idx="39">
                  <c:v>1096600</c:v>
                </c:pt>
                <c:pt idx="40">
                  <c:v>1104600</c:v>
                </c:pt>
                <c:pt idx="41">
                  <c:v>1080400</c:v>
                </c:pt>
                <c:pt idx="42">
                  <c:v>1088400</c:v>
                </c:pt>
                <c:pt idx="43">
                  <c:v>956000</c:v>
                </c:pt>
                <c:pt idx="44">
                  <c:v>955800</c:v>
                </c:pt>
                <c:pt idx="45">
                  <c:v>847400</c:v>
                </c:pt>
                <c:pt idx="46">
                  <c:v>702400</c:v>
                </c:pt>
                <c:pt idx="47">
                  <c:v>707400</c:v>
                </c:pt>
                <c:pt idx="48">
                  <c:v>572000</c:v>
                </c:pt>
                <c:pt idx="49">
                  <c:v>551000</c:v>
                </c:pt>
                <c:pt idx="50">
                  <c:v>446800</c:v>
                </c:pt>
                <c:pt idx="51">
                  <c:v>247800</c:v>
                </c:pt>
                <c:pt idx="52">
                  <c:v>248800</c:v>
                </c:pt>
                <c:pt idx="53">
                  <c:v>217600</c:v>
                </c:pt>
                <c:pt idx="54">
                  <c:v>179200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  <c:pt idx="70">
                  <c:v>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8C0-90A3-A468F9D5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5711251"/>
        <c:axId val="45493821"/>
      </c:lineChart>
      <c:catAx>
        <c:axId val="18557112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5493821"/>
        <c:crosses val="autoZero"/>
        <c:auto val="1"/>
        <c:lblAlgn val="ctr"/>
        <c:lblOffset val="100"/>
        <c:noMultiLvlLbl val="1"/>
      </c:catAx>
      <c:valAx>
        <c:axId val="454938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55711251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723900</xdr:colOff>
      <xdr:row>1</xdr:row>
      <xdr:rowOff>152400</xdr:rowOff>
    </xdr:from>
    <xdr:ext cx="4476750" cy="2552700"/>
    <xdr:graphicFrame macro="">
      <xdr:nvGraphicFramePr>
        <xdr:cNvPr id="2011209237" name="Chart 1">
          <a:extLst>
            <a:ext uri="{FF2B5EF4-FFF2-40B4-BE49-F238E27FC236}">
              <a16:creationId xmlns:a16="http://schemas.microsoft.com/office/drawing/2014/main" id="{00000000-0008-0000-0300-0000159EE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9</xdr:col>
      <xdr:colOff>390525</xdr:colOff>
      <xdr:row>1</xdr:row>
      <xdr:rowOff>114300</xdr:rowOff>
    </xdr:from>
    <xdr:ext cx="4476750" cy="2695575"/>
    <xdr:graphicFrame macro="">
      <xdr:nvGraphicFramePr>
        <xdr:cNvPr id="823612681" name="Chart 2">
          <a:extLst>
            <a:ext uri="{FF2B5EF4-FFF2-40B4-BE49-F238E27FC236}">
              <a16:creationId xmlns:a16="http://schemas.microsoft.com/office/drawing/2014/main" id="{00000000-0008-0000-0300-0000095517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752475</xdr:colOff>
      <xdr:row>19</xdr:row>
      <xdr:rowOff>66675</xdr:rowOff>
    </xdr:from>
    <xdr:ext cx="4476750" cy="2695575"/>
    <xdr:graphicFrame macro="">
      <xdr:nvGraphicFramePr>
        <xdr:cNvPr id="32870438" name="Chart 3">
          <a:extLst>
            <a:ext uri="{FF2B5EF4-FFF2-40B4-BE49-F238E27FC236}">
              <a16:creationId xmlns:a16="http://schemas.microsoft.com/office/drawing/2014/main" id="{00000000-0008-0000-0300-00002690F5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5:B5" headerRowCount="0">
  <tableColumns count="2">
    <tableColumn id="1" xr3:uid="{00000000-0010-0000-0000-000001000000}" name="Column1"/>
    <tableColumn id="2" xr3:uid="{00000000-0010-0000-0000-000002000000}" name="Column2"/>
  </tableColumns>
  <tableStyleInfo name="Calculator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D5:F76">
  <tableColumns count="3">
    <tableColumn id="1" xr3:uid="{00000000-0010-0000-0100-000001000000}" name="Age"/>
    <tableColumn id="2" xr3:uid="{00000000-0010-0000-0100-000002000000}" name="Year of Plan"/>
    <tableColumn id="3" xr3:uid="{00000000-0010-0000-0100-000003000000}" name="Payment"/>
  </tableColumns>
  <tableStyleInfo name="Calculator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0"/>
  <sheetViews>
    <sheetView tabSelected="1" workbookViewId="0">
      <selection activeCell="H13" sqref="H13"/>
    </sheetView>
  </sheetViews>
  <sheetFormatPr defaultColWidth="12.5703125" defaultRowHeight="15" customHeight="1" x14ac:dyDescent="0.2"/>
  <cols>
    <col min="1" max="1" width="22.140625" customWidth="1"/>
    <col min="2" max="2" width="12.140625" customWidth="1"/>
    <col min="3" max="3" width="12.5703125" customWidth="1"/>
    <col min="4" max="4" width="11.5703125" customWidth="1"/>
    <col min="5" max="6" width="10.5703125" customWidth="1"/>
    <col min="8" max="8" width="22.42578125" customWidth="1"/>
    <col min="9" max="9" width="10.42578125" customWidth="1"/>
  </cols>
  <sheetData>
    <row r="1" spans="1:26" ht="15.7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customHeight="1" x14ac:dyDescent="0.2">
      <c r="A3" s="2"/>
      <c r="B3" s="2" t="s">
        <v>0</v>
      </c>
      <c r="C3" s="1"/>
      <c r="D3" s="1"/>
      <c r="E3" s="1"/>
      <c r="F3" s="1"/>
      <c r="G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customHeight="1" x14ac:dyDescent="0.2">
      <c r="A4" s="2"/>
      <c r="B4" s="2"/>
      <c r="C4" s="1"/>
      <c r="D4" s="1"/>
      <c r="E4" s="1"/>
      <c r="F4" s="1"/>
      <c r="G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customHeight="1" x14ac:dyDescent="0.2">
      <c r="A5" s="3" t="s">
        <v>1</v>
      </c>
      <c r="B5" s="3" t="s">
        <v>124</v>
      </c>
      <c r="C5" s="1"/>
      <c r="D5" s="1" t="s">
        <v>3</v>
      </c>
      <c r="E5" s="1" t="s">
        <v>4</v>
      </c>
      <c r="F5" s="1" t="s">
        <v>5</v>
      </c>
      <c r="G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x14ac:dyDescent="0.2">
      <c r="A6" s="2"/>
      <c r="B6" s="2"/>
      <c r="C6" s="1"/>
      <c r="D6" s="1">
        <f>B14</f>
        <v>70</v>
      </c>
      <c r="E6" s="1">
        <f t="shared" ref="E6:E76" si="0">IF(D6="","", D6-$B$14+1)</f>
        <v>1</v>
      </c>
      <c r="F6" s="1">
        <f t="shared" ref="F6:F75" si="1">IF(D6="","",IF($B$5 = "Plan 1", 15000, IF($B$5 = "Plan 2", 25000, IF($B$5 = "Plan 3", 7200, IF($B$5 = "Plan 4", D6*1000, IF($B$5 = "Plan 5", IF(E6&lt;($B$18)/2, 19000, 25000), IF($B$5 = "Plan 6", 100000/($B$18), IF($B$5 = "Plan 7", IF(F5&lt;&gt;30000, 30000, 0),  ))))))))</f>
        <v>7200</v>
      </c>
      <c r="G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customHeight="1" x14ac:dyDescent="0.2">
      <c r="A7" s="3" t="s">
        <v>6</v>
      </c>
      <c r="B7" s="4">
        <v>70</v>
      </c>
      <c r="C7" s="1"/>
      <c r="D7" s="1">
        <f>IF(OR(D6=110, D6=""), "",IF(D6+1&gt;$B$16, "",D6+1))</f>
        <v>71</v>
      </c>
      <c r="E7" s="1">
        <f t="shared" si="0"/>
        <v>2</v>
      </c>
      <c r="F7" s="1">
        <f t="shared" si="1"/>
        <v>7200</v>
      </c>
      <c r="G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.75" customHeight="1" x14ac:dyDescent="0.2">
      <c r="A8" s="2"/>
      <c r="B8" s="2"/>
      <c r="C8" s="1"/>
      <c r="D8" s="1">
        <f t="shared" ref="D8:D52" si="2">IF(OR(D7=110, D7=""), "",IF(D7+1&gt;$B$16, "",D7+1))</f>
        <v>72</v>
      </c>
      <c r="E8" s="1">
        <f t="shared" si="0"/>
        <v>3</v>
      </c>
      <c r="F8" s="1">
        <f t="shared" si="1"/>
        <v>7200</v>
      </c>
      <c r="G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.75" customHeight="1" x14ac:dyDescent="0.2">
      <c r="A9" s="3" t="s">
        <v>7</v>
      </c>
      <c r="B9" s="3">
        <v>70</v>
      </c>
      <c r="C9" s="1"/>
      <c r="D9" s="1">
        <f t="shared" si="2"/>
        <v>73</v>
      </c>
      <c r="E9" s="1">
        <f t="shared" si="0"/>
        <v>4</v>
      </c>
      <c r="F9" s="1">
        <f t="shared" si="1"/>
        <v>7200</v>
      </c>
      <c r="G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customHeight="1" x14ac:dyDescent="0.2">
      <c r="A10" s="1"/>
      <c r="B10" s="1"/>
      <c r="C10" s="1"/>
      <c r="D10" s="1">
        <f t="shared" si="2"/>
        <v>74</v>
      </c>
      <c r="E10" s="1">
        <f t="shared" si="0"/>
        <v>5</v>
      </c>
      <c r="F10" s="1">
        <f t="shared" si="1"/>
        <v>7200</v>
      </c>
      <c r="G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customHeight="1" x14ac:dyDescent="0.2">
      <c r="A11" s="1"/>
      <c r="B11" s="1"/>
      <c r="C11" s="1"/>
      <c r="D11" s="1">
        <f t="shared" si="2"/>
        <v>75</v>
      </c>
      <c r="E11" s="1">
        <f t="shared" si="0"/>
        <v>6</v>
      </c>
      <c r="F11" s="1">
        <f t="shared" si="1"/>
        <v>7200</v>
      </c>
      <c r="G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.75" customHeight="1" x14ac:dyDescent="0.2">
      <c r="A12" s="1"/>
      <c r="B12" s="1" t="s">
        <v>8</v>
      </c>
      <c r="C12" s="1"/>
      <c r="D12" s="1">
        <f t="shared" si="2"/>
        <v>76</v>
      </c>
      <c r="E12" s="1">
        <f t="shared" si="0"/>
        <v>7</v>
      </c>
      <c r="F12" s="1">
        <f t="shared" si="1"/>
        <v>7200</v>
      </c>
      <c r="G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customHeight="1" x14ac:dyDescent="0.2">
      <c r="A13" s="1"/>
      <c r="B13" s="1"/>
      <c r="C13" s="1"/>
      <c r="D13" s="1">
        <f t="shared" si="2"/>
        <v>77</v>
      </c>
      <c r="E13" s="1">
        <f t="shared" si="0"/>
        <v>8</v>
      </c>
      <c r="F13" s="1">
        <f t="shared" si="1"/>
        <v>7200</v>
      </c>
      <c r="G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customHeight="1" x14ac:dyDescent="0.2">
      <c r="A14" s="5" t="s">
        <v>9</v>
      </c>
      <c r="B14" s="5">
        <f>IF($B$5 = "Plan 2", 65, IF($B$5 = "Plan 4", 60, IF(ISBLANK($B$7), 40, $B$7)))</f>
        <v>70</v>
      </c>
      <c r="C14" s="1"/>
      <c r="D14" s="1">
        <f t="shared" si="2"/>
        <v>78</v>
      </c>
      <c r="E14" s="1">
        <f t="shared" si="0"/>
        <v>9</v>
      </c>
      <c r="F14" s="1">
        <f t="shared" si="1"/>
        <v>7200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 x14ac:dyDescent="0.2">
      <c r="A15" s="1"/>
      <c r="B15" s="1"/>
      <c r="C15" s="1"/>
      <c r="D15" s="1">
        <f t="shared" si="2"/>
        <v>79</v>
      </c>
      <c r="E15" s="1">
        <f t="shared" si="0"/>
        <v>10</v>
      </c>
      <c r="F15" s="1">
        <f t="shared" si="1"/>
        <v>7200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 x14ac:dyDescent="0.2">
      <c r="A16" s="5" t="s">
        <v>10</v>
      </c>
      <c r="B16" s="5">
        <f>IF($B$5 = "Plan 2", 94, IF($B$5 = "Plan 3", 110, IF($B$5 = "Plan 4", 100, IF(ISBLANK($B$9), 110, $B$9))))</f>
        <v>110</v>
      </c>
      <c r="C16" s="1"/>
      <c r="D16" s="1">
        <f t="shared" si="2"/>
        <v>80</v>
      </c>
      <c r="E16" s="1">
        <f t="shared" si="0"/>
        <v>11</v>
      </c>
      <c r="F16" s="1">
        <f t="shared" si="1"/>
        <v>7200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customHeight="1" x14ac:dyDescent="0.2">
      <c r="A17" s="1"/>
      <c r="B17" s="1"/>
      <c r="C17" s="1"/>
      <c r="D17" s="1">
        <f t="shared" si="2"/>
        <v>81</v>
      </c>
      <c r="E17" s="1">
        <f t="shared" si="0"/>
        <v>12</v>
      </c>
      <c r="F17" s="1">
        <f t="shared" si="1"/>
        <v>7200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customHeight="1" x14ac:dyDescent="0.2">
      <c r="A18" s="5" t="s">
        <v>11</v>
      </c>
      <c r="B18" s="5">
        <f>B16+1-B14</f>
        <v>41</v>
      </c>
      <c r="C18" s="1"/>
      <c r="D18" s="1">
        <f>IF(OR(D17=110, D17=""), "",IF(D17+1&gt;$B$16, "",D17+1))</f>
        <v>82</v>
      </c>
      <c r="E18" s="1">
        <f t="shared" si="0"/>
        <v>13</v>
      </c>
      <c r="F18" s="1">
        <f t="shared" si="1"/>
        <v>7200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customHeight="1" x14ac:dyDescent="0.2">
      <c r="A19" s="1"/>
      <c r="B19" s="1"/>
      <c r="C19" s="1"/>
      <c r="D19" s="1">
        <f t="shared" si="2"/>
        <v>83</v>
      </c>
      <c r="E19" s="1">
        <f t="shared" si="0"/>
        <v>14</v>
      </c>
      <c r="F19" s="1">
        <f t="shared" si="1"/>
        <v>7200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customHeight="1" x14ac:dyDescent="0.2">
      <c r="A20" s="5" t="s">
        <v>12</v>
      </c>
      <c r="B20" s="5">
        <f>SUM(F6:F76)</f>
        <v>295200</v>
      </c>
      <c r="C20" s="1"/>
      <c r="D20" s="1">
        <f t="shared" si="2"/>
        <v>84</v>
      </c>
      <c r="E20" s="1">
        <f t="shared" si="0"/>
        <v>15</v>
      </c>
      <c r="F20" s="1">
        <f t="shared" si="1"/>
        <v>7200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">
      <c r="A21" s="1"/>
      <c r="B21" s="1"/>
      <c r="C21" s="1"/>
      <c r="D21" s="1">
        <f t="shared" si="2"/>
        <v>85</v>
      </c>
      <c r="E21" s="1">
        <f t="shared" si="0"/>
        <v>16</v>
      </c>
      <c r="F21" s="1">
        <f t="shared" si="1"/>
        <v>7200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">
      <c r="A22" s="5" t="s">
        <v>13</v>
      </c>
      <c r="B22" s="5">
        <f>IF(B18=0, 0, B20/B18)</f>
        <v>7200</v>
      </c>
      <c r="C22" s="1"/>
      <c r="D22" s="1">
        <f t="shared" si="2"/>
        <v>86</v>
      </c>
      <c r="E22" s="1">
        <f t="shared" si="0"/>
        <v>17</v>
      </c>
      <c r="F22" s="1">
        <f t="shared" si="1"/>
        <v>7200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">
      <c r="A23" s="1"/>
      <c r="B23" s="1"/>
      <c r="C23" s="1"/>
      <c r="D23" s="1">
        <f t="shared" si="2"/>
        <v>87</v>
      </c>
      <c r="E23" s="1">
        <f t="shared" si="0"/>
        <v>18</v>
      </c>
      <c r="F23" s="1">
        <f t="shared" si="1"/>
        <v>7200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">
      <c r="A24" s="1"/>
      <c r="B24" s="1"/>
      <c r="C24" s="1"/>
      <c r="D24" s="1">
        <f t="shared" si="2"/>
        <v>88</v>
      </c>
      <c r="E24" s="1">
        <f t="shared" si="0"/>
        <v>19</v>
      </c>
      <c r="F24" s="1">
        <f t="shared" si="1"/>
        <v>7200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">
      <c r="A25" s="1"/>
      <c r="B25" s="1"/>
      <c r="C25" s="1"/>
      <c r="D25" s="1">
        <f t="shared" si="2"/>
        <v>89</v>
      </c>
      <c r="E25" s="1">
        <f t="shared" si="0"/>
        <v>20</v>
      </c>
      <c r="F25" s="1">
        <f t="shared" si="1"/>
        <v>7200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">
      <c r="A26" s="1"/>
      <c r="B26" s="1"/>
      <c r="C26" s="1"/>
      <c r="D26" s="1">
        <f t="shared" si="2"/>
        <v>90</v>
      </c>
      <c r="E26" s="1">
        <f t="shared" si="0"/>
        <v>21</v>
      </c>
      <c r="F26" s="1">
        <f t="shared" si="1"/>
        <v>7200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">
      <c r="A27" s="1"/>
      <c r="B27" s="1"/>
      <c r="C27" s="1"/>
      <c r="D27" s="1">
        <f>IF(OR(D26=110, D26=""), "",IF(D26+1&gt;$B$16, "",D26+1))</f>
        <v>91</v>
      </c>
      <c r="E27" s="1">
        <f t="shared" si="0"/>
        <v>22</v>
      </c>
      <c r="F27" s="1">
        <f t="shared" si="1"/>
        <v>7200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">
      <c r="A28" s="1"/>
      <c r="B28" s="1"/>
      <c r="C28" s="1"/>
      <c r="D28" s="1">
        <f t="shared" si="2"/>
        <v>92</v>
      </c>
      <c r="E28" s="1">
        <f t="shared" si="0"/>
        <v>23</v>
      </c>
      <c r="F28" s="1">
        <f t="shared" si="1"/>
        <v>7200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">
      <c r="A29" s="1"/>
      <c r="B29" s="1"/>
      <c r="C29" s="1"/>
      <c r="D29" s="1">
        <f t="shared" si="2"/>
        <v>93</v>
      </c>
      <c r="E29" s="1">
        <f t="shared" si="0"/>
        <v>24</v>
      </c>
      <c r="F29" s="1">
        <f t="shared" si="1"/>
        <v>7200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">
      <c r="A30" s="1"/>
      <c r="B30" s="1"/>
      <c r="C30" s="1"/>
      <c r="D30" s="1">
        <f t="shared" si="2"/>
        <v>94</v>
      </c>
      <c r="E30" s="1">
        <f t="shared" si="0"/>
        <v>25</v>
      </c>
      <c r="F30" s="1">
        <f t="shared" si="1"/>
        <v>7200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">
      <c r="A31" s="1"/>
      <c r="B31" s="1"/>
      <c r="C31" s="1"/>
      <c r="D31" s="1">
        <f t="shared" si="2"/>
        <v>95</v>
      </c>
      <c r="E31" s="1">
        <f t="shared" si="0"/>
        <v>26</v>
      </c>
      <c r="F31" s="1">
        <f t="shared" si="1"/>
        <v>7200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">
      <c r="A32" s="1"/>
      <c r="B32" s="1"/>
      <c r="C32" s="1"/>
      <c r="D32" s="1">
        <f t="shared" si="2"/>
        <v>96</v>
      </c>
      <c r="E32" s="1">
        <f t="shared" si="0"/>
        <v>27</v>
      </c>
      <c r="F32" s="1">
        <f t="shared" si="1"/>
        <v>7200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">
      <c r="A33" s="1"/>
      <c r="B33" s="1"/>
      <c r="C33" s="1"/>
      <c r="D33" s="1">
        <f t="shared" si="2"/>
        <v>97</v>
      </c>
      <c r="E33" s="1">
        <f t="shared" si="0"/>
        <v>28</v>
      </c>
      <c r="F33" s="1">
        <f t="shared" si="1"/>
        <v>7200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">
      <c r="A34" s="1"/>
      <c r="B34" s="1"/>
      <c r="C34" s="1"/>
      <c r="D34" s="1">
        <f t="shared" si="2"/>
        <v>98</v>
      </c>
      <c r="E34" s="1">
        <f t="shared" si="0"/>
        <v>29</v>
      </c>
      <c r="F34" s="1">
        <f t="shared" si="1"/>
        <v>7200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">
      <c r="A35" s="1"/>
      <c r="B35" s="1"/>
      <c r="C35" s="1"/>
      <c r="D35" s="1">
        <f t="shared" si="2"/>
        <v>99</v>
      </c>
      <c r="E35" s="1">
        <f t="shared" si="0"/>
        <v>30</v>
      </c>
      <c r="F35" s="1">
        <f t="shared" si="1"/>
        <v>7200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">
      <c r="A36" s="1"/>
      <c r="B36" s="1"/>
      <c r="C36" s="1"/>
      <c r="D36" s="1">
        <f t="shared" si="2"/>
        <v>100</v>
      </c>
      <c r="E36" s="1">
        <f t="shared" si="0"/>
        <v>31</v>
      </c>
      <c r="F36" s="1">
        <f t="shared" si="1"/>
        <v>7200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">
      <c r="A37" s="1"/>
      <c r="B37" s="1"/>
      <c r="C37" s="1"/>
      <c r="D37" s="1">
        <f t="shared" si="2"/>
        <v>101</v>
      </c>
      <c r="E37" s="1">
        <f t="shared" si="0"/>
        <v>32</v>
      </c>
      <c r="F37" s="1">
        <f t="shared" si="1"/>
        <v>7200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">
      <c r="A38" s="1"/>
      <c r="B38" s="1"/>
      <c r="C38" s="1"/>
      <c r="D38" s="1">
        <f>IF(OR(D37=110, D37=""), "",IF(D37+1&gt;$B$16, "",D37+1))</f>
        <v>102</v>
      </c>
      <c r="E38" s="1">
        <f t="shared" si="0"/>
        <v>33</v>
      </c>
      <c r="F38" s="1">
        <f t="shared" si="1"/>
        <v>7200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">
      <c r="A39" s="1"/>
      <c r="B39" s="1"/>
      <c r="C39" s="1"/>
      <c r="D39" s="1">
        <f t="shared" si="2"/>
        <v>103</v>
      </c>
      <c r="E39" s="1">
        <f t="shared" si="0"/>
        <v>34</v>
      </c>
      <c r="F39" s="1">
        <f t="shared" si="1"/>
        <v>7200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">
      <c r="A40" s="1"/>
      <c r="B40" s="1"/>
      <c r="C40" s="1"/>
      <c r="D40" s="1">
        <f t="shared" si="2"/>
        <v>104</v>
      </c>
      <c r="E40" s="1">
        <f t="shared" si="0"/>
        <v>35</v>
      </c>
      <c r="F40" s="1">
        <f t="shared" si="1"/>
        <v>7200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">
      <c r="A41" s="1"/>
      <c r="B41" s="1"/>
      <c r="C41" s="1"/>
      <c r="D41" s="1">
        <f t="shared" si="2"/>
        <v>105</v>
      </c>
      <c r="E41" s="1">
        <f t="shared" si="0"/>
        <v>36</v>
      </c>
      <c r="F41" s="1">
        <f t="shared" si="1"/>
        <v>7200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">
      <c r="A42" s="1"/>
      <c r="B42" s="1"/>
      <c r="C42" s="1"/>
      <c r="D42" s="1">
        <f>IF(OR(D41=110, D41=""), "",IF(D41+1&gt;$B$16, "",D41+1))</f>
        <v>106</v>
      </c>
      <c r="E42" s="1">
        <f t="shared" si="0"/>
        <v>37</v>
      </c>
      <c r="F42" s="1">
        <f t="shared" si="1"/>
        <v>7200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">
      <c r="A43" s="1"/>
      <c r="B43" s="1"/>
      <c r="C43" s="1"/>
      <c r="D43" s="1">
        <f t="shared" si="2"/>
        <v>107</v>
      </c>
      <c r="E43" s="1">
        <f t="shared" si="0"/>
        <v>38</v>
      </c>
      <c r="F43" s="1">
        <f t="shared" si="1"/>
        <v>7200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">
      <c r="A44" s="1"/>
      <c r="B44" s="1"/>
      <c r="C44" s="1"/>
      <c r="D44" s="1">
        <f t="shared" si="2"/>
        <v>108</v>
      </c>
      <c r="E44" s="1">
        <f t="shared" si="0"/>
        <v>39</v>
      </c>
      <c r="F44" s="1">
        <f t="shared" si="1"/>
        <v>7200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">
      <c r="A45" s="1"/>
      <c r="B45" s="1"/>
      <c r="C45" s="1"/>
      <c r="D45" s="1">
        <f t="shared" si="2"/>
        <v>109</v>
      </c>
      <c r="E45" s="1">
        <f t="shared" si="0"/>
        <v>40</v>
      </c>
      <c r="F45" s="1">
        <f t="shared" si="1"/>
        <v>7200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">
      <c r="A46" s="1"/>
      <c r="B46" s="1"/>
      <c r="C46" s="1"/>
      <c r="D46" s="1">
        <f t="shared" si="2"/>
        <v>110</v>
      </c>
      <c r="E46" s="1">
        <f t="shared" si="0"/>
        <v>41</v>
      </c>
      <c r="F46" s="1">
        <f t="shared" si="1"/>
        <v>7200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">
      <c r="A47" s="1"/>
      <c r="B47" s="1"/>
      <c r="C47" s="1"/>
      <c r="D47" s="1" t="str">
        <f t="shared" si="2"/>
        <v/>
      </c>
      <c r="E47" s="1" t="str">
        <f t="shared" si="0"/>
        <v/>
      </c>
      <c r="F47" s="1" t="str">
        <f t="shared" si="1"/>
        <v/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">
      <c r="A48" s="1"/>
      <c r="B48" s="1"/>
      <c r="C48" s="1"/>
      <c r="D48" s="1" t="str">
        <f t="shared" si="2"/>
        <v/>
      </c>
      <c r="E48" s="1" t="str">
        <f t="shared" si="0"/>
        <v/>
      </c>
      <c r="F48" s="1" t="str">
        <f t="shared" si="1"/>
        <v/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">
      <c r="A49" s="1"/>
      <c r="B49" s="1"/>
      <c r="C49" s="1"/>
      <c r="D49" s="1" t="str">
        <f t="shared" si="2"/>
        <v/>
      </c>
      <c r="E49" s="1" t="str">
        <f t="shared" si="0"/>
        <v/>
      </c>
      <c r="F49" s="1" t="str">
        <f t="shared" si="1"/>
        <v/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">
      <c r="A50" s="1"/>
      <c r="B50" s="1"/>
      <c r="C50" s="1"/>
      <c r="D50" s="1" t="str">
        <f t="shared" si="2"/>
        <v/>
      </c>
      <c r="E50" s="1" t="str">
        <f t="shared" si="0"/>
        <v/>
      </c>
      <c r="F50" s="1" t="str">
        <f t="shared" si="1"/>
        <v/>
      </c>
      <c r="G50" s="1"/>
      <c r="H50" s="1" t="b">
        <f>ISBLANK(D54)</f>
        <v>0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">
      <c r="A51" s="1"/>
      <c r="B51" s="1"/>
      <c r="C51" s="1"/>
      <c r="D51" s="1" t="str">
        <f t="shared" si="2"/>
        <v/>
      </c>
      <c r="E51" s="1" t="str">
        <f t="shared" si="0"/>
        <v/>
      </c>
      <c r="F51" s="1" t="str">
        <f t="shared" si="1"/>
        <v/>
      </c>
      <c r="G51" s="1"/>
      <c r="H51" s="1">
        <f>LEN(D54)</f>
        <v>0</v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">
      <c r="A52" s="1"/>
      <c r="B52" s="1"/>
      <c r="C52" s="1"/>
      <c r="D52" s="1" t="str">
        <f t="shared" si="2"/>
        <v/>
      </c>
      <c r="E52" s="1" t="str">
        <f t="shared" si="0"/>
        <v/>
      </c>
      <c r="F52" s="1" t="str">
        <f t="shared" si="1"/>
        <v/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">
      <c r="A53" s="1"/>
      <c r="B53" s="1"/>
      <c r="C53" s="1"/>
      <c r="D53" s="1" t="str">
        <f>IF(OR(D52=110, D52=""), "",IF(D52+1&gt;$B$16, "",D52+1))</f>
        <v/>
      </c>
      <c r="E53" s="1" t="str">
        <f t="shared" si="0"/>
        <v/>
      </c>
      <c r="F53" s="1" t="str">
        <f t="shared" si="1"/>
        <v/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">
      <c r="A54" s="1"/>
      <c r="B54" s="1"/>
      <c r="C54" s="1"/>
      <c r="D54" s="1" t="str">
        <f>IF(OR(D53=110, D53=""), "",IF(D53+1&gt;$B$16, "",D53+1))</f>
        <v/>
      </c>
      <c r="E54" s="1" t="str">
        <f t="shared" si="0"/>
        <v/>
      </c>
      <c r="F54" s="1" t="str">
        <f t="shared" si="1"/>
        <v/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">
      <c r="A55" s="1"/>
      <c r="B55" s="1"/>
      <c r="C55" s="1"/>
      <c r="D55" s="1" t="str">
        <f t="shared" ref="D55:D63" si="3">IF(OR(D54=110, D54=""), "",IF(D54+1&gt;$B$16, "",D54+1))</f>
        <v/>
      </c>
      <c r="E55" s="1" t="str">
        <f t="shared" si="0"/>
        <v/>
      </c>
      <c r="F55" s="1" t="str">
        <f t="shared" si="1"/>
        <v/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">
      <c r="A56" s="1"/>
      <c r="B56" s="1"/>
      <c r="C56" s="1"/>
      <c r="D56" s="1" t="str">
        <f t="shared" si="3"/>
        <v/>
      </c>
      <c r="E56" s="1" t="str">
        <f t="shared" si="0"/>
        <v/>
      </c>
      <c r="F56" s="1" t="str">
        <f t="shared" si="1"/>
        <v/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">
      <c r="A57" s="1"/>
      <c r="B57" s="1"/>
      <c r="C57" s="1"/>
      <c r="D57" s="1" t="str">
        <f t="shared" si="3"/>
        <v/>
      </c>
      <c r="E57" s="1" t="str">
        <f t="shared" si="0"/>
        <v/>
      </c>
      <c r="F57" s="1" t="str">
        <f t="shared" si="1"/>
        <v/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">
      <c r="A58" s="1"/>
      <c r="B58" s="1"/>
      <c r="C58" s="1"/>
      <c r="D58" s="1" t="str">
        <f t="shared" si="3"/>
        <v/>
      </c>
      <c r="E58" s="1" t="str">
        <f t="shared" si="0"/>
        <v/>
      </c>
      <c r="F58" s="1" t="str">
        <f t="shared" si="1"/>
        <v/>
      </c>
      <c r="G58" s="1"/>
      <c r="H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">
      <c r="A59" s="1"/>
      <c r="B59" s="1"/>
      <c r="C59" s="1"/>
      <c r="D59" s="1" t="str">
        <f t="shared" si="3"/>
        <v/>
      </c>
      <c r="E59" s="1" t="str">
        <f t="shared" si="0"/>
        <v/>
      </c>
      <c r="F59" s="1" t="str">
        <f t="shared" si="1"/>
        <v/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">
      <c r="A60" s="1"/>
      <c r="B60" s="1"/>
      <c r="C60" s="1"/>
      <c r="D60" s="1" t="str">
        <f t="shared" si="3"/>
        <v/>
      </c>
      <c r="E60" s="1" t="str">
        <f t="shared" si="0"/>
        <v/>
      </c>
      <c r="F60" s="1" t="str">
        <f t="shared" si="1"/>
        <v/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">
      <c r="A61" s="1"/>
      <c r="B61" s="1"/>
      <c r="C61" s="1"/>
      <c r="D61" s="1" t="str">
        <f t="shared" si="3"/>
        <v/>
      </c>
      <c r="E61" s="1" t="str">
        <f t="shared" si="0"/>
        <v/>
      </c>
      <c r="F61" s="1" t="str">
        <f t="shared" si="1"/>
        <v/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">
      <c r="A62" s="1"/>
      <c r="B62" s="1"/>
      <c r="C62" s="1"/>
      <c r="D62" s="1" t="str">
        <f t="shared" si="3"/>
        <v/>
      </c>
      <c r="E62" s="1" t="str">
        <f t="shared" si="0"/>
        <v/>
      </c>
      <c r="F62" s="1" t="str">
        <f t="shared" si="1"/>
        <v/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">
      <c r="A63" s="1"/>
      <c r="B63" s="1"/>
      <c r="C63" s="1"/>
      <c r="D63" s="1" t="str">
        <f t="shared" si="3"/>
        <v/>
      </c>
      <c r="E63" s="1" t="str">
        <f t="shared" si="0"/>
        <v/>
      </c>
      <c r="F63" s="1" t="str">
        <f t="shared" si="1"/>
        <v/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">
      <c r="A64" s="1"/>
      <c r="B64" s="1"/>
      <c r="C64" s="1"/>
      <c r="D64" s="1" t="str">
        <f>IF(OR(D63=110, D63=""), "",IF(D63+1&gt;$B$16, "",D63+1))</f>
        <v/>
      </c>
      <c r="E64" s="1" t="str">
        <f t="shared" si="0"/>
        <v/>
      </c>
      <c r="F64" s="1" t="str">
        <f t="shared" si="1"/>
        <v/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">
      <c r="A65" s="1"/>
      <c r="B65" s="1"/>
      <c r="C65" s="1"/>
      <c r="D65" s="1" t="str">
        <f t="shared" ref="D65:D74" si="4">IF(OR(D64=110, D64=""), "",IF(D64+1&gt;$B$16, "",D64+1))</f>
        <v/>
      </c>
      <c r="E65" s="1" t="str">
        <f t="shared" si="0"/>
        <v/>
      </c>
      <c r="F65" s="1" t="str">
        <f t="shared" si="1"/>
        <v/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">
      <c r="A66" s="1"/>
      <c r="B66" s="1"/>
      <c r="C66" s="1"/>
      <c r="D66" s="1" t="str">
        <f t="shared" si="4"/>
        <v/>
      </c>
      <c r="E66" s="1" t="str">
        <f t="shared" si="0"/>
        <v/>
      </c>
      <c r="F66" s="1" t="str">
        <f t="shared" si="1"/>
        <v/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">
      <c r="A67" s="1"/>
      <c r="B67" s="1"/>
      <c r="C67" s="1"/>
      <c r="D67" s="1" t="str">
        <f t="shared" si="4"/>
        <v/>
      </c>
      <c r="E67" s="1" t="str">
        <f t="shared" si="0"/>
        <v/>
      </c>
      <c r="F67" s="1" t="str">
        <f t="shared" si="1"/>
        <v/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">
      <c r="A68" s="1"/>
      <c r="B68" s="1"/>
      <c r="C68" s="1"/>
      <c r="D68" s="1" t="str">
        <f t="shared" si="4"/>
        <v/>
      </c>
      <c r="E68" s="1" t="str">
        <f t="shared" si="0"/>
        <v/>
      </c>
      <c r="F68" s="1" t="str">
        <f t="shared" si="1"/>
        <v/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">
      <c r="A69" s="1"/>
      <c r="B69" s="1"/>
      <c r="C69" s="1"/>
      <c r="D69" s="1" t="str">
        <f t="shared" si="4"/>
        <v/>
      </c>
      <c r="E69" s="1" t="str">
        <f t="shared" si="0"/>
        <v/>
      </c>
      <c r="F69" s="1" t="str">
        <f t="shared" si="1"/>
        <v/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">
      <c r="A70" s="1"/>
      <c r="B70" s="1"/>
      <c r="C70" s="1"/>
      <c r="D70" s="1" t="str">
        <f t="shared" si="4"/>
        <v/>
      </c>
      <c r="E70" s="1" t="str">
        <f t="shared" si="0"/>
        <v/>
      </c>
      <c r="F70" s="1" t="str">
        <f t="shared" si="1"/>
        <v/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">
      <c r="A71" s="1"/>
      <c r="B71" s="1"/>
      <c r="C71" s="1"/>
      <c r="D71" s="1" t="str">
        <f t="shared" si="4"/>
        <v/>
      </c>
      <c r="E71" s="1" t="str">
        <f t="shared" si="0"/>
        <v/>
      </c>
      <c r="F71" s="1" t="str">
        <f t="shared" si="1"/>
        <v/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">
      <c r="A72" s="1"/>
      <c r="B72" s="1"/>
      <c r="C72" s="1"/>
      <c r="D72" s="1" t="str">
        <f t="shared" si="4"/>
        <v/>
      </c>
      <c r="E72" s="1" t="str">
        <f t="shared" si="0"/>
        <v/>
      </c>
      <c r="F72" s="1" t="str">
        <f t="shared" si="1"/>
        <v/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">
      <c r="A73" s="1"/>
      <c r="B73" s="1"/>
      <c r="C73" s="1"/>
      <c r="D73" s="1" t="str">
        <f t="shared" si="4"/>
        <v/>
      </c>
      <c r="E73" s="1" t="str">
        <f t="shared" si="0"/>
        <v/>
      </c>
      <c r="F73" s="1" t="str">
        <f t="shared" si="1"/>
        <v/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">
      <c r="A74" s="1"/>
      <c r="B74" s="1"/>
      <c r="C74" s="1"/>
      <c r="D74" s="1" t="str">
        <f t="shared" si="4"/>
        <v/>
      </c>
      <c r="E74" s="1" t="str">
        <f t="shared" si="0"/>
        <v/>
      </c>
      <c r="F74" s="1" t="str">
        <f t="shared" si="1"/>
        <v/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">
      <c r="A75" s="1"/>
      <c r="B75" s="1"/>
      <c r="C75" s="1"/>
      <c r="D75" s="1" t="str">
        <f>IF(OR(D74=110, D74=""), "",IF(D74+1&gt;$B$16, "",D74+1))</f>
        <v/>
      </c>
      <c r="E75" s="1" t="str">
        <f t="shared" si="0"/>
        <v/>
      </c>
      <c r="F75" s="1" t="str">
        <f t="shared" si="1"/>
        <v/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">
      <c r="A76" s="1"/>
      <c r="B76" s="1"/>
      <c r="C76" s="1"/>
      <c r="D76" s="1" t="str">
        <f>IF(OR(D75=110, D75=""), "",IF(D75+1&gt;$B$16, "",D75+1))</f>
        <v/>
      </c>
      <c r="E76" s="1" t="str">
        <f t="shared" si="0"/>
        <v/>
      </c>
      <c r="F76" s="1" t="str">
        <f>IF(D76="","",IF($B$5 = "Plan 1", 15000, IF($B$5 = "Plan 2", 25000, IF($B$5 = "Plan 3", 7200, IF($B$5 = "Plan 4", D76*1000, IF($B$5 = "Plan 5", IF(E76&lt;($B$18)/2, 19000, 25000), IF($B$5 = "Plan 6", 100000/($B$18+1), IF($B$5 = "Plan 7", IF(F75&lt;&gt;30000, 30000, 0),  ))))))))</f>
        <v/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"/>
    <row r="278" spans="1:26" ht="15.75" customHeight="1" x14ac:dyDescent="0.2"/>
    <row r="279" spans="1:26" ht="15.75" customHeight="1" x14ac:dyDescent="0.2"/>
    <row r="280" spans="1:26" ht="15.75" customHeight="1" x14ac:dyDescent="0.2"/>
    <row r="281" spans="1:26" ht="15.75" customHeight="1" x14ac:dyDescent="0.2"/>
    <row r="282" spans="1:26" ht="15.75" customHeight="1" x14ac:dyDescent="0.2"/>
    <row r="283" spans="1:26" ht="15.75" customHeight="1" x14ac:dyDescent="0.2"/>
    <row r="284" spans="1:26" ht="15.75" customHeight="1" x14ac:dyDescent="0.2"/>
    <row r="285" spans="1:26" ht="15.75" customHeight="1" x14ac:dyDescent="0.2"/>
    <row r="286" spans="1:26" ht="15.75" customHeight="1" x14ac:dyDescent="0.2"/>
    <row r="287" spans="1:26" ht="15.75" customHeight="1" x14ac:dyDescent="0.2"/>
    <row r="288" spans="1:26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A7:B7">
    <cfRule type="expression" dxfId="2" priority="1">
      <formula>OR($B$5 = "Plan 2", $B$5 = "Plan 4")</formula>
    </cfRule>
  </conditionalFormatting>
  <conditionalFormatting sqref="A9:B9">
    <cfRule type="expression" dxfId="1" priority="2">
      <formula>OR($B$5 = "Plan 2",  $B$5 = "Plan 3", $B$5 = "Plan 4")</formula>
    </cfRule>
  </conditionalFormatting>
  <conditionalFormatting sqref="D7:D76">
    <cfRule type="expression" dxfId="0" priority="3">
      <formula>ISBLANK($D$6)</formula>
    </cfRule>
  </conditionalFormatting>
  <dataValidations count="3">
    <dataValidation type="list" allowBlank="1" showErrorMessage="1" sqref="B5" xr:uid="{00000000-0002-0000-0000-000000000000}">
      <formula1>"Plan 1,Plan 2,Plan 3,Plan 4,Plan 5,Plan 6,Plan 7"</formula1>
    </dataValidation>
    <dataValidation type="decimal" allowBlank="1" showDropDown="1" sqref="B9" xr:uid="{00000000-0002-0000-0000-000001000000}">
      <formula1>$B$7</formula1>
      <formula2>110</formula2>
    </dataValidation>
    <dataValidation type="decimal" allowBlank="1" showDropDown="1" sqref="B7" xr:uid="{00000000-0002-0000-0000-000002000000}">
      <formula1>40</formula1>
      <formula2>110</formula2>
    </dataValidation>
  </dataValidations>
  <pageMargins left="0.7" right="0.7" top="0.75" bottom="0.75" header="0" footer="0"/>
  <pageSetup orientation="landscape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10" sqref="D10"/>
    </sheetView>
  </sheetViews>
  <sheetFormatPr defaultColWidth="12.5703125" defaultRowHeight="15" customHeight="1" x14ac:dyDescent="0.2"/>
  <cols>
    <col min="1" max="1" width="12" customWidth="1"/>
    <col min="2" max="2" width="8.42578125" customWidth="1"/>
    <col min="3" max="5" width="20" customWidth="1"/>
    <col min="6" max="26" width="8.85546875" customWidth="1"/>
  </cols>
  <sheetData>
    <row r="1" spans="1:26" ht="13.5" customHeight="1" x14ac:dyDescent="0.25">
      <c r="A1" s="6" t="s">
        <v>14</v>
      </c>
      <c r="B1" s="6" t="s">
        <v>15</v>
      </c>
      <c r="C1" s="6" t="s">
        <v>16</v>
      </c>
      <c r="D1" s="6" t="s">
        <v>17</v>
      </c>
      <c r="E1" s="6" t="s">
        <v>18</v>
      </c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3.5" customHeight="1" x14ac:dyDescent="0.2">
      <c r="A2" s="8" t="s">
        <v>19</v>
      </c>
      <c r="B2" s="8">
        <v>5</v>
      </c>
      <c r="C2" s="8">
        <v>60</v>
      </c>
      <c r="D2" s="8">
        <v>67</v>
      </c>
      <c r="E2" s="8">
        <v>19</v>
      </c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13.5" customHeight="1" x14ac:dyDescent="0.2">
      <c r="A3" s="8" t="s">
        <v>20</v>
      </c>
      <c r="B3" s="8">
        <v>4</v>
      </c>
      <c r="C3" s="8">
        <v>50</v>
      </c>
      <c r="D3" s="8"/>
      <c r="E3" s="8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13.5" customHeight="1" x14ac:dyDescent="0.2">
      <c r="A4" s="8" t="s">
        <v>21</v>
      </c>
      <c r="B4" s="8">
        <v>3</v>
      </c>
      <c r="C4" s="8">
        <v>40</v>
      </c>
      <c r="D4" s="8">
        <v>50</v>
      </c>
      <c r="E4" s="8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3.5" customHeight="1" x14ac:dyDescent="0.2">
      <c r="A5" s="8" t="s">
        <v>22</v>
      </c>
      <c r="B5" s="8">
        <v>1</v>
      </c>
      <c r="C5" s="8">
        <v>45</v>
      </c>
      <c r="D5" s="8">
        <v>48</v>
      </c>
      <c r="E5" s="8">
        <v>18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3.5" customHeight="1" x14ac:dyDescent="0.2">
      <c r="A6" s="8" t="s">
        <v>23</v>
      </c>
      <c r="B6" s="8">
        <v>2</v>
      </c>
      <c r="C6" s="8">
        <v>52</v>
      </c>
      <c r="D6" s="8"/>
      <c r="E6" s="8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3.5" customHeight="1" x14ac:dyDescent="0.2">
      <c r="A7" s="8" t="s">
        <v>24</v>
      </c>
      <c r="B7" s="8">
        <v>2</v>
      </c>
      <c r="C7" s="8">
        <v>63</v>
      </c>
      <c r="D7" s="8"/>
      <c r="E7" s="8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3.5" customHeight="1" x14ac:dyDescent="0.2">
      <c r="A8" s="8" t="s">
        <v>25</v>
      </c>
      <c r="B8" s="8">
        <v>4</v>
      </c>
      <c r="C8" s="8">
        <v>64</v>
      </c>
      <c r="D8" s="8"/>
      <c r="E8" s="8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3.5" customHeight="1" x14ac:dyDescent="0.2">
      <c r="A9" s="8" t="s">
        <v>26</v>
      </c>
      <c r="B9" s="8">
        <v>3</v>
      </c>
      <c r="C9" s="8">
        <v>48</v>
      </c>
      <c r="D9" s="8">
        <v>60</v>
      </c>
      <c r="E9" s="8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3.5" customHeight="1" x14ac:dyDescent="0.2">
      <c r="A10" s="8" t="s">
        <v>27</v>
      </c>
      <c r="B10" s="8">
        <v>4</v>
      </c>
      <c r="C10" s="8">
        <v>46</v>
      </c>
      <c r="D10" s="8"/>
      <c r="E10" s="8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3.5" customHeight="1" x14ac:dyDescent="0.2">
      <c r="A11" s="8" t="s">
        <v>28</v>
      </c>
      <c r="B11" s="8">
        <v>5</v>
      </c>
      <c r="C11" s="8">
        <v>58</v>
      </c>
      <c r="D11" s="8">
        <v>63</v>
      </c>
      <c r="E11" s="8">
        <v>20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3.5" customHeight="1" x14ac:dyDescent="0.2">
      <c r="A12" s="8" t="s">
        <v>29</v>
      </c>
      <c r="B12" s="8">
        <v>7</v>
      </c>
      <c r="C12" s="8">
        <v>55</v>
      </c>
      <c r="D12" s="8">
        <v>64</v>
      </c>
      <c r="E12" s="8">
        <v>15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3.5" customHeight="1" x14ac:dyDescent="0.2">
      <c r="A13" s="8" t="s">
        <v>30</v>
      </c>
      <c r="B13" s="8">
        <v>1</v>
      </c>
      <c r="C13" s="8">
        <v>55</v>
      </c>
      <c r="D13" s="8">
        <v>68</v>
      </c>
      <c r="E13" s="8">
        <v>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3.5" customHeight="1" x14ac:dyDescent="0.2">
      <c r="A14" s="8" t="s">
        <v>31</v>
      </c>
      <c r="B14" s="8">
        <v>1</v>
      </c>
      <c r="C14" s="8">
        <v>53</v>
      </c>
      <c r="D14" s="8">
        <v>54</v>
      </c>
      <c r="E14" s="8">
        <v>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3.5" customHeight="1" x14ac:dyDescent="0.2">
      <c r="A15" s="8" t="s">
        <v>32</v>
      </c>
      <c r="B15" s="8">
        <v>1</v>
      </c>
      <c r="C15" s="8">
        <v>45</v>
      </c>
      <c r="D15" s="8">
        <v>58</v>
      </c>
      <c r="E15" s="8">
        <v>19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3.5" customHeight="1" x14ac:dyDescent="0.2">
      <c r="A16" s="8" t="s">
        <v>33</v>
      </c>
      <c r="B16" s="8">
        <v>6</v>
      </c>
      <c r="C16" s="8">
        <v>53</v>
      </c>
      <c r="D16" s="8">
        <v>67</v>
      </c>
      <c r="E16" s="8">
        <v>7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3.5" customHeight="1" x14ac:dyDescent="0.2">
      <c r="A17" s="8" t="s">
        <v>34</v>
      </c>
      <c r="B17" s="8">
        <v>7</v>
      </c>
      <c r="C17" s="8">
        <v>56</v>
      </c>
      <c r="D17" s="8">
        <v>58</v>
      </c>
      <c r="E17" s="8">
        <v>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3.5" customHeight="1" x14ac:dyDescent="0.2">
      <c r="A18" s="8" t="s">
        <v>35</v>
      </c>
      <c r="B18" s="8">
        <v>5</v>
      </c>
      <c r="C18" s="8">
        <v>52</v>
      </c>
      <c r="D18" s="8">
        <v>61</v>
      </c>
      <c r="E18" s="8">
        <v>20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3.5" customHeight="1" x14ac:dyDescent="0.2">
      <c r="A19" s="8" t="s">
        <v>36</v>
      </c>
      <c r="B19" s="8">
        <v>2</v>
      </c>
      <c r="C19" s="8">
        <v>56</v>
      </c>
      <c r="D19" s="8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3.5" customHeight="1" x14ac:dyDescent="0.2">
      <c r="A20" s="8" t="s">
        <v>37</v>
      </c>
      <c r="B20" s="8">
        <v>2</v>
      </c>
      <c r="C20" s="8">
        <v>47</v>
      </c>
      <c r="D20" s="8"/>
      <c r="E20" s="8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3.5" customHeight="1" x14ac:dyDescent="0.2">
      <c r="A21" s="8" t="s">
        <v>38</v>
      </c>
      <c r="B21" s="8">
        <v>3</v>
      </c>
      <c r="C21" s="8">
        <v>41</v>
      </c>
      <c r="D21" s="8">
        <v>41</v>
      </c>
      <c r="E21" s="8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3.5" customHeight="1" x14ac:dyDescent="0.2">
      <c r="A22" s="8" t="s">
        <v>39</v>
      </c>
      <c r="B22" s="8">
        <v>6</v>
      </c>
      <c r="C22" s="8">
        <v>50</v>
      </c>
      <c r="D22" s="8">
        <v>58</v>
      </c>
      <c r="E22" s="8">
        <v>20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3.5" customHeight="1" x14ac:dyDescent="0.2">
      <c r="A23" s="8" t="s">
        <v>40</v>
      </c>
      <c r="B23" s="8">
        <v>4</v>
      </c>
      <c r="C23" s="8">
        <v>58</v>
      </c>
      <c r="D23" s="8"/>
      <c r="E23" s="8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3.5" customHeight="1" x14ac:dyDescent="0.2">
      <c r="A24" s="8" t="s">
        <v>41</v>
      </c>
      <c r="B24" s="8">
        <v>1</v>
      </c>
      <c r="C24" s="8">
        <v>51</v>
      </c>
      <c r="D24" s="8">
        <v>57</v>
      </c>
      <c r="E24" s="8">
        <v>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3.5" customHeight="1" x14ac:dyDescent="0.2">
      <c r="A25" s="8" t="s">
        <v>42</v>
      </c>
      <c r="B25" s="8">
        <v>5</v>
      </c>
      <c r="C25" s="8">
        <v>40</v>
      </c>
      <c r="D25" s="8">
        <v>43</v>
      </c>
      <c r="E25" s="8">
        <v>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3.5" customHeight="1" x14ac:dyDescent="0.2">
      <c r="A26" s="8" t="s">
        <v>43</v>
      </c>
      <c r="B26" s="8">
        <v>7</v>
      </c>
      <c r="C26" s="8">
        <v>47</v>
      </c>
      <c r="D26" s="8">
        <v>61</v>
      </c>
      <c r="E26" s="8">
        <v>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3.5" customHeight="1" x14ac:dyDescent="0.2">
      <c r="A27" s="8" t="s">
        <v>44</v>
      </c>
      <c r="B27" s="8">
        <v>5</v>
      </c>
      <c r="C27" s="8">
        <v>57</v>
      </c>
      <c r="D27" s="8">
        <v>60</v>
      </c>
      <c r="E27" s="8">
        <v>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3.5" customHeight="1" x14ac:dyDescent="0.2">
      <c r="A28" s="8" t="s">
        <v>45</v>
      </c>
      <c r="B28" s="8">
        <v>1</v>
      </c>
      <c r="C28" s="8">
        <v>52</v>
      </c>
      <c r="D28" s="8">
        <v>66</v>
      </c>
      <c r="E28" s="8">
        <v>12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3.5" customHeight="1" x14ac:dyDescent="0.2">
      <c r="A29" s="8" t="s">
        <v>46</v>
      </c>
      <c r="B29" s="8">
        <v>3</v>
      </c>
      <c r="C29" s="8">
        <v>67</v>
      </c>
      <c r="D29" s="8">
        <v>71</v>
      </c>
      <c r="E29" s="8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3.5" customHeight="1" x14ac:dyDescent="0.2">
      <c r="A30" s="8" t="s">
        <v>47</v>
      </c>
      <c r="B30" s="8">
        <v>7</v>
      </c>
      <c r="C30" s="8">
        <v>42</v>
      </c>
      <c r="D30" s="8">
        <v>46</v>
      </c>
      <c r="E30" s="8">
        <v>16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3.5" customHeight="1" x14ac:dyDescent="0.2">
      <c r="A31" s="8" t="s">
        <v>48</v>
      </c>
      <c r="B31" s="8">
        <v>1</v>
      </c>
      <c r="C31" s="8">
        <v>60</v>
      </c>
      <c r="D31" s="8">
        <v>66</v>
      </c>
      <c r="E31" s="8">
        <v>8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3.5" customHeight="1" x14ac:dyDescent="0.2">
      <c r="A32" s="8" t="s">
        <v>49</v>
      </c>
      <c r="B32" s="8">
        <v>1</v>
      </c>
      <c r="C32" s="8">
        <v>45</v>
      </c>
      <c r="D32" s="8">
        <v>45</v>
      </c>
      <c r="E32" s="8">
        <v>19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3.5" customHeight="1" x14ac:dyDescent="0.2">
      <c r="A33" s="8" t="s">
        <v>50</v>
      </c>
      <c r="B33" s="8">
        <v>1</v>
      </c>
      <c r="C33" s="8">
        <v>63</v>
      </c>
      <c r="D33" s="8">
        <v>69</v>
      </c>
      <c r="E33" s="8">
        <v>6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3.5" customHeight="1" x14ac:dyDescent="0.2">
      <c r="A34" s="8" t="s">
        <v>51</v>
      </c>
      <c r="B34" s="8">
        <v>1</v>
      </c>
      <c r="C34" s="8">
        <v>42</v>
      </c>
      <c r="D34" s="8">
        <v>43</v>
      </c>
      <c r="E34" s="8">
        <v>19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3.5" customHeight="1" x14ac:dyDescent="0.2">
      <c r="A35" s="8" t="s">
        <v>52</v>
      </c>
      <c r="B35" s="8">
        <v>5</v>
      </c>
      <c r="C35" s="8">
        <v>44</v>
      </c>
      <c r="D35" s="8">
        <v>57</v>
      </c>
      <c r="E35" s="8">
        <v>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3.5" customHeight="1" x14ac:dyDescent="0.2">
      <c r="A36" s="8" t="s">
        <v>53</v>
      </c>
      <c r="B36" s="8">
        <v>1</v>
      </c>
      <c r="C36" s="8">
        <v>63</v>
      </c>
      <c r="D36" s="8">
        <v>69</v>
      </c>
      <c r="E36" s="8">
        <v>20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3.5" customHeight="1" x14ac:dyDescent="0.2">
      <c r="A37" s="8" t="s">
        <v>54</v>
      </c>
      <c r="B37" s="8">
        <v>1</v>
      </c>
      <c r="C37" s="8">
        <v>68</v>
      </c>
      <c r="D37" s="8">
        <v>69</v>
      </c>
      <c r="E37" s="8">
        <v>17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3.5" customHeight="1" x14ac:dyDescent="0.2">
      <c r="A38" s="8" t="s">
        <v>55</v>
      </c>
      <c r="B38" s="8">
        <v>2</v>
      </c>
      <c r="C38" s="8">
        <v>42</v>
      </c>
      <c r="D38" s="8"/>
      <c r="E38" s="8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3.5" customHeight="1" x14ac:dyDescent="0.2">
      <c r="A39" s="8" t="s">
        <v>56</v>
      </c>
      <c r="B39" s="8">
        <v>2</v>
      </c>
      <c r="C39" s="8">
        <v>67</v>
      </c>
      <c r="D39" s="8"/>
      <c r="E39" s="8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3.5" customHeight="1" x14ac:dyDescent="0.2">
      <c r="A40" s="8" t="s">
        <v>57</v>
      </c>
      <c r="B40" s="8">
        <v>3</v>
      </c>
      <c r="C40" s="8">
        <v>70</v>
      </c>
      <c r="D40" s="8">
        <v>72</v>
      </c>
      <c r="E40" s="8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3.5" customHeight="1" x14ac:dyDescent="0.2">
      <c r="A41" s="8" t="s">
        <v>58</v>
      </c>
      <c r="B41" s="8">
        <v>1</v>
      </c>
      <c r="C41" s="8">
        <v>69</v>
      </c>
      <c r="D41" s="8">
        <v>78</v>
      </c>
      <c r="E41" s="8">
        <v>6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3.5" customHeight="1" x14ac:dyDescent="0.2">
      <c r="A42" s="8" t="s">
        <v>59</v>
      </c>
      <c r="B42" s="8">
        <v>2</v>
      </c>
      <c r="C42" s="8">
        <v>41</v>
      </c>
      <c r="D42" s="8"/>
      <c r="E42" s="8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3.5" customHeight="1" x14ac:dyDescent="0.2">
      <c r="A43" s="8" t="s">
        <v>60</v>
      </c>
      <c r="B43" s="8">
        <v>2</v>
      </c>
      <c r="C43" s="8">
        <v>49</v>
      </c>
      <c r="D43" s="8"/>
      <c r="E43" s="8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3.5" customHeight="1" x14ac:dyDescent="0.2">
      <c r="A44" s="8" t="s">
        <v>61</v>
      </c>
      <c r="B44" s="8">
        <v>7</v>
      </c>
      <c r="C44" s="8">
        <v>44</v>
      </c>
      <c r="D44" s="8">
        <v>59</v>
      </c>
      <c r="E44" s="8">
        <v>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3.5" customHeight="1" x14ac:dyDescent="0.2">
      <c r="A45" s="8" t="s">
        <v>62</v>
      </c>
      <c r="B45" s="8">
        <v>6</v>
      </c>
      <c r="C45" s="8">
        <v>45</v>
      </c>
      <c r="D45" s="8">
        <v>52</v>
      </c>
      <c r="E45" s="8">
        <v>20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3.5" customHeight="1" x14ac:dyDescent="0.2">
      <c r="A46" s="8" t="s">
        <v>63</v>
      </c>
      <c r="B46" s="8">
        <v>4</v>
      </c>
      <c r="C46" s="8">
        <v>50</v>
      </c>
      <c r="D46" s="8"/>
      <c r="E46" s="8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3.5" customHeight="1" x14ac:dyDescent="0.2">
      <c r="A47" s="8" t="s">
        <v>64</v>
      </c>
      <c r="B47" s="8">
        <v>7</v>
      </c>
      <c r="C47" s="8">
        <v>49</v>
      </c>
      <c r="D47" s="8">
        <v>63</v>
      </c>
      <c r="E47" s="8">
        <v>11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3.5" customHeight="1" x14ac:dyDescent="0.2">
      <c r="A48" s="8" t="s">
        <v>65</v>
      </c>
      <c r="B48" s="8">
        <v>6</v>
      </c>
      <c r="C48" s="8">
        <v>55</v>
      </c>
      <c r="D48" s="8">
        <v>57</v>
      </c>
      <c r="E48" s="8">
        <v>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3.5" customHeight="1" x14ac:dyDescent="0.2">
      <c r="A49" s="8" t="s">
        <v>66</v>
      </c>
      <c r="B49" s="8">
        <v>2</v>
      </c>
      <c r="C49" s="8">
        <v>58</v>
      </c>
      <c r="D49" s="8"/>
      <c r="E49" s="8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3.5" customHeight="1" x14ac:dyDescent="0.2">
      <c r="A50" s="8" t="s">
        <v>67</v>
      </c>
      <c r="B50" s="8">
        <v>6</v>
      </c>
      <c r="C50" s="8">
        <v>60</v>
      </c>
      <c r="D50" s="8">
        <v>73</v>
      </c>
      <c r="E50" s="8">
        <v>18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3.5" customHeight="1" x14ac:dyDescent="0.2">
      <c r="A51" s="8" t="s">
        <v>68</v>
      </c>
      <c r="B51" s="8">
        <v>7</v>
      </c>
      <c r="C51" s="8">
        <v>59</v>
      </c>
      <c r="D51" s="8">
        <v>60</v>
      </c>
      <c r="E51" s="8">
        <v>16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3.5" customHeight="1" x14ac:dyDescent="0.2">
      <c r="A52" s="8" t="s">
        <v>69</v>
      </c>
      <c r="B52" s="8">
        <v>5</v>
      </c>
      <c r="C52" s="8">
        <v>42</v>
      </c>
      <c r="D52" s="8">
        <v>55</v>
      </c>
      <c r="E52" s="8">
        <v>18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3.5" customHeight="1" x14ac:dyDescent="0.2">
      <c r="A53" s="8" t="s">
        <v>70</v>
      </c>
      <c r="B53" s="8">
        <v>3</v>
      </c>
      <c r="C53" s="8">
        <v>66</v>
      </c>
      <c r="D53" s="8">
        <v>78</v>
      </c>
      <c r="E53" s="8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3.5" customHeight="1" x14ac:dyDescent="0.2">
      <c r="A54" s="8" t="s">
        <v>71</v>
      </c>
      <c r="B54" s="8">
        <v>3</v>
      </c>
      <c r="C54" s="8">
        <v>49</v>
      </c>
      <c r="D54" s="8">
        <v>50</v>
      </c>
      <c r="E54" s="8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3.5" customHeight="1" x14ac:dyDescent="0.2">
      <c r="A55" s="8" t="s">
        <v>72</v>
      </c>
      <c r="B55" s="8">
        <v>1</v>
      </c>
      <c r="C55" s="8">
        <v>54</v>
      </c>
      <c r="D55" s="8">
        <v>55</v>
      </c>
      <c r="E55" s="8">
        <v>12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3.5" customHeight="1" x14ac:dyDescent="0.2">
      <c r="A56" s="8" t="s">
        <v>73</v>
      </c>
      <c r="B56" s="8">
        <v>4</v>
      </c>
      <c r="C56" s="8">
        <v>56</v>
      </c>
      <c r="D56" s="8"/>
      <c r="E56" s="8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3.5" customHeight="1" x14ac:dyDescent="0.2">
      <c r="A57" s="8" t="s">
        <v>74</v>
      </c>
      <c r="B57" s="8">
        <v>2</v>
      </c>
      <c r="C57" s="8">
        <v>58</v>
      </c>
      <c r="D57" s="8"/>
      <c r="E57" s="8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3.5" customHeight="1" x14ac:dyDescent="0.2">
      <c r="A58" s="8" t="s">
        <v>75</v>
      </c>
      <c r="B58" s="8">
        <v>3</v>
      </c>
      <c r="C58" s="8">
        <v>63</v>
      </c>
      <c r="D58" s="8">
        <v>78</v>
      </c>
      <c r="E58" s="8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3.5" customHeight="1" x14ac:dyDescent="0.2">
      <c r="A59" s="8" t="s">
        <v>76</v>
      </c>
      <c r="B59" s="8">
        <v>3</v>
      </c>
      <c r="C59" s="8">
        <v>51</v>
      </c>
      <c r="D59" s="8">
        <v>64</v>
      </c>
      <c r="E59" s="8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3.5" customHeight="1" x14ac:dyDescent="0.2">
      <c r="A60" s="8" t="s">
        <v>77</v>
      </c>
      <c r="B60" s="8">
        <v>4</v>
      </c>
      <c r="C60" s="8">
        <v>55</v>
      </c>
      <c r="D60" s="8"/>
      <c r="E60" s="8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3.5" customHeight="1" x14ac:dyDescent="0.2">
      <c r="A61" s="8" t="s">
        <v>78</v>
      </c>
      <c r="B61" s="8">
        <v>1</v>
      </c>
      <c r="C61" s="8">
        <v>41</v>
      </c>
      <c r="D61" s="8">
        <v>51</v>
      </c>
      <c r="E61" s="8">
        <v>12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3.5" customHeight="1" x14ac:dyDescent="0.2">
      <c r="A62" s="8" t="s">
        <v>79</v>
      </c>
      <c r="B62" s="8">
        <v>1</v>
      </c>
      <c r="C62" s="8">
        <v>54</v>
      </c>
      <c r="D62" s="8">
        <v>63</v>
      </c>
      <c r="E62" s="8">
        <v>17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3.5" customHeight="1" x14ac:dyDescent="0.2">
      <c r="A63" s="8" t="s">
        <v>80</v>
      </c>
      <c r="B63" s="8">
        <v>7</v>
      </c>
      <c r="C63" s="8">
        <v>42</v>
      </c>
      <c r="D63" s="8">
        <v>57</v>
      </c>
      <c r="E63" s="8">
        <v>17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3.5" customHeight="1" x14ac:dyDescent="0.2">
      <c r="A64" s="8" t="s">
        <v>81</v>
      </c>
      <c r="B64" s="8">
        <v>4</v>
      </c>
      <c r="C64" s="8">
        <v>53</v>
      </c>
      <c r="D64" s="8"/>
      <c r="E64" s="8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3.5" customHeight="1" x14ac:dyDescent="0.2">
      <c r="A65" s="8" t="s">
        <v>82</v>
      </c>
      <c r="B65" s="8">
        <v>2</v>
      </c>
      <c r="C65" s="8">
        <v>58</v>
      </c>
      <c r="D65" s="8"/>
      <c r="E65" s="8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3.5" customHeight="1" x14ac:dyDescent="0.2">
      <c r="A66" s="8" t="s">
        <v>83</v>
      </c>
      <c r="B66" s="8">
        <v>1</v>
      </c>
      <c r="C66" s="8">
        <v>54</v>
      </c>
      <c r="D66" s="8">
        <v>66</v>
      </c>
      <c r="E66" s="8">
        <v>20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3.5" customHeight="1" x14ac:dyDescent="0.2">
      <c r="A67" s="8" t="s">
        <v>84</v>
      </c>
      <c r="B67" s="8">
        <v>7</v>
      </c>
      <c r="C67" s="8">
        <v>47</v>
      </c>
      <c r="D67" s="8">
        <v>57</v>
      </c>
      <c r="E67" s="8">
        <v>8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3.5" customHeight="1" x14ac:dyDescent="0.2">
      <c r="A68" s="8" t="s">
        <v>85</v>
      </c>
      <c r="B68" s="8">
        <v>2</v>
      </c>
      <c r="C68" s="8">
        <v>60</v>
      </c>
      <c r="D68" s="8"/>
      <c r="E68" s="8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3.5" customHeight="1" x14ac:dyDescent="0.2">
      <c r="A69" s="8" t="s">
        <v>86</v>
      </c>
      <c r="B69" s="8">
        <v>2</v>
      </c>
      <c r="C69" s="8">
        <v>49</v>
      </c>
      <c r="D69" s="8"/>
      <c r="E69" s="8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3.5" customHeight="1" x14ac:dyDescent="0.2">
      <c r="A70" s="8" t="s">
        <v>87</v>
      </c>
      <c r="B70" s="8">
        <v>3</v>
      </c>
      <c r="C70" s="8">
        <v>53</v>
      </c>
      <c r="D70" s="8">
        <v>58</v>
      </c>
      <c r="E70" s="8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3.5" customHeight="1" x14ac:dyDescent="0.2">
      <c r="A71" s="8" t="s">
        <v>88</v>
      </c>
      <c r="B71" s="8">
        <v>7</v>
      </c>
      <c r="C71" s="8">
        <v>50</v>
      </c>
      <c r="D71" s="8">
        <v>50</v>
      </c>
      <c r="E71" s="8">
        <v>15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3.5" customHeight="1" x14ac:dyDescent="0.2">
      <c r="A72" s="8" t="s">
        <v>89</v>
      </c>
      <c r="B72" s="8">
        <v>7</v>
      </c>
      <c r="C72" s="8">
        <v>44</v>
      </c>
      <c r="D72" s="8">
        <v>46</v>
      </c>
      <c r="E72" s="8">
        <v>9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3.5" customHeight="1" x14ac:dyDescent="0.2">
      <c r="A73" s="8" t="s">
        <v>90</v>
      </c>
      <c r="B73" s="8">
        <v>1</v>
      </c>
      <c r="C73" s="8">
        <v>56</v>
      </c>
      <c r="D73" s="8">
        <v>59</v>
      </c>
      <c r="E73" s="8">
        <v>14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3.5" customHeight="1" x14ac:dyDescent="0.2">
      <c r="A74" s="8" t="s">
        <v>91</v>
      </c>
      <c r="B74" s="8">
        <v>4</v>
      </c>
      <c r="C74" s="8">
        <v>51</v>
      </c>
      <c r="D74" s="8"/>
      <c r="E74" s="8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3.5" customHeight="1" x14ac:dyDescent="0.2">
      <c r="A75" s="8" t="s">
        <v>92</v>
      </c>
      <c r="B75" s="8">
        <v>5</v>
      </c>
      <c r="C75" s="8">
        <v>68</v>
      </c>
      <c r="D75" s="8">
        <v>72</v>
      </c>
      <c r="E75" s="8">
        <v>5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3.5" customHeight="1" x14ac:dyDescent="0.2">
      <c r="A76" s="8" t="s">
        <v>93</v>
      </c>
      <c r="B76" s="8">
        <v>3</v>
      </c>
      <c r="C76" s="8">
        <v>57</v>
      </c>
      <c r="D76" s="8">
        <v>64</v>
      </c>
      <c r="E76" s="8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3.5" customHeight="1" x14ac:dyDescent="0.2">
      <c r="A77" s="8" t="s">
        <v>94</v>
      </c>
      <c r="B77" s="8">
        <v>3</v>
      </c>
      <c r="C77" s="8">
        <v>45</v>
      </c>
      <c r="D77" s="8">
        <v>48</v>
      </c>
      <c r="E77" s="8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3.5" customHeight="1" x14ac:dyDescent="0.2">
      <c r="A78" s="8" t="s">
        <v>95</v>
      </c>
      <c r="B78" s="8">
        <v>1</v>
      </c>
      <c r="C78" s="8">
        <v>54</v>
      </c>
      <c r="D78" s="8">
        <v>64</v>
      </c>
      <c r="E78" s="8">
        <v>11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3.5" customHeight="1" x14ac:dyDescent="0.2">
      <c r="A79" s="8" t="s">
        <v>96</v>
      </c>
      <c r="B79" s="8">
        <v>3</v>
      </c>
      <c r="C79" s="8">
        <v>51</v>
      </c>
      <c r="D79" s="8">
        <v>62</v>
      </c>
      <c r="E79" s="8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3.5" customHeight="1" x14ac:dyDescent="0.2">
      <c r="A80" s="8" t="s">
        <v>97</v>
      </c>
      <c r="B80" s="8">
        <v>2</v>
      </c>
      <c r="C80" s="8">
        <v>46</v>
      </c>
      <c r="D80" s="8"/>
      <c r="E80" s="8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3.5" customHeight="1" x14ac:dyDescent="0.2">
      <c r="A81" s="8" t="s">
        <v>98</v>
      </c>
      <c r="B81" s="8">
        <v>3</v>
      </c>
      <c r="C81" s="8">
        <v>66</v>
      </c>
      <c r="D81" s="8">
        <v>66</v>
      </c>
      <c r="E81" s="8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3.5" customHeight="1" x14ac:dyDescent="0.2">
      <c r="A82" s="8" t="s">
        <v>99</v>
      </c>
      <c r="B82" s="8">
        <v>7</v>
      </c>
      <c r="C82" s="8">
        <v>62</v>
      </c>
      <c r="D82" s="8">
        <v>68</v>
      </c>
      <c r="E82" s="8">
        <v>17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3.5" customHeight="1" x14ac:dyDescent="0.2">
      <c r="A83" s="8" t="s">
        <v>100</v>
      </c>
      <c r="B83" s="8">
        <v>3</v>
      </c>
      <c r="C83" s="8">
        <v>57</v>
      </c>
      <c r="D83" s="8">
        <v>70</v>
      </c>
      <c r="E83" s="8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3.5" customHeight="1" x14ac:dyDescent="0.2">
      <c r="A84" s="8" t="s">
        <v>101</v>
      </c>
      <c r="B84" s="8">
        <v>5</v>
      </c>
      <c r="C84" s="8">
        <v>47</v>
      </c>
      <c r="D84" s="8">
        <v>47</v>
      </c>
      <c r="E84" s="8">
        <v>7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3.5" customHeight="1" x14ac:dyDescent="0.2">
      <c r="A85" s="8" t="s">
        <v>102</v>
      </c>
      <c r="B85" s="8">
        <v>2</v>
      </c>
      <c r="C85" s="8">
        <v>54</v>
      </c>
      <c r="D85" s="8"/>
      <c r="E85" s="8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3.5" customHeight="1" x14ac:dyDescent="0.2">
      <c r="A86" s="8" t="s">
        <v>103</v>
      </c>
      <c r="B86" s="8">
        <v>1</v>
      </c>
      <c r="C86" s="8">
        <v>42</v>
      </c>
      <c r="D86" s="8">
        <v>51</v>
      </c>
      <c r="E86" s="8">
        <v>10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3.5" customHeight="1" x14ac:dyDescent="0.2">
      <c r="A87" s="8" t="s">
        <v>104</v>
      </c>
      <c r="B87" s="8">
        <v>7</v>
      </c>
      <c r="C87" s="8">
        <v>45</v>
      </c>
      <c r="D87" s="8">
        <v>48</v>
      </c>
      <c r="E87" s="8">
        <v>9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3.5" customHeight="1" x14ac:dyDescent="0.2">
      <c r="A88" s="8" t="s">
        <v>105</v>
      </c>
      <c r="B88" s="8">
        <v>7</v>
      </c>
      <c r="C88" s="8">
        <v>60</v>
      </c>
      <c r="D88" s="8">
        <v>61</v>
      </c>
      <c r="E88" s="8">
        <v>13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3.5" customHeight="1" x14ac:dyDescent="0.2">
      <c r="A89" s="8" t="s">
        <v>106</v>
      </c>
      <c r="B89" s="8">
        <v>1</v>
      </c>
      <c r="C89" s="8">
        <v>63</v>
      </c>
      <c r="D89" s="8">
        <v>73</v>
      </c>
      <c r="E89" s="8">
        <v>6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3.5" customHeight="1" x14ac:dyDescent="0.2">
      <c r="A90" s="8" t="s">
        <v>107</v>
      </c>
      <c r="B90" s="8">
        <v>2</v>
      </c>
      <c r="C90" s="8">
        <v>70</v>
      </c>
      <c r="D90" s="8"/>
      <c r="E90" s="8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3.5" customHeight="1" x14ac:dyDescent="0.2">
      <c r="A91" s="8" t="s">
        <v>108</v>
      </c>
      <c r="B91" s="8">
        <v>2</v>
      </c>
      <c r="C91" s="8">
        <v>69</v>
      </c>
      <c r="D91" s="8"/>
      <c r="E91" s="8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3.5" customHeight="1" x14ac:dyDescent="0.2">
      <c r="A92" s="8" t="s">
        <v>109</v>
      </c>
      <c r="B92" s="8">
        <v>3</v>
      </c>
      <c r="C92" s="8">
        <v>63</v>
      </c>
      <c r="D92" s="8">
        <v>66</v>
      </c>
      <c r="E92" s="8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3.5" customHeight="1" x14ac:dyDescent="0.2">
      <c r="A93" s="8" t="s">
        <v>110</v>
      </c>
      <c r="B93" s="8">
        <v>3</v>
      </c>
      <c r="C93" s="8">
        <v>68</v>
      </c>
      <c r="D93" s="8">
        <v>80</v>
      </c>
      <c r="E93" s="8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3.5" customHeight="1" x14ac:dyDescent="0.2">
      <c r="A94" s="8" t="s">
        <v>111</v>
      </c>
      <c r="B94" s="8">
        <v>7</v>
      </c>
      <c r="C94" s="8">
        <v>63</v>
      </c>
      <c r="D94" s="8">
        <v>69</v>
      </c>
      <c r="E94" s="8">
        <v>17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3.5" customHeight="1" x14ac:dyDescent="0.2">
      <c r="A95" s="8" t="s">
        <v>112</v>
      </c>
      <c r="B95" s="8">
        <v>3</v>
      </c>
      <c r="C95" s="8">
        <v>45</v>
      </c>
      <c r="D95" s="8">
        <v>59</v>
      </c>
      <c r="E95" s="8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3.5" customHeight="1" x14ac:dyDescent="0.2">
      <c r="A96" s="8" t="s">
        <v>113</v>
      </c>
      <c r="B96" s="8">
        <v>3</v>
      </c>
      <c r="C96" s="8">
        <v>55</v>
      </c>
      <c r="D96" s="8">
        <v>65</v>
      </c>
      <c r="E96" s="8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3.5" customHeight="1" x14ac:dyDescent="0.2">
      <c r="A97" s="8" t="s">
        <v>114</v>
      </c>
      <c r="B97" s="8">
        <v>3</v>
      </c>
      <c r="C97" s="8">
        <v>68</v>
      </c>
      <c r="D97" s="8">
        <v>69</v>
      </c>
      <c r="E97" s="8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3.5" customHeight="1" x14ac:dyDescent="0.2">
      <c r="A98" s="8" t="s">
        <v>115</v>
      </c>
      <c r="B98" s="8">
        <v>1</v>
      </c>
      <c r="C98" s="8">
        <v>65</v>
      </c>
      <c r="D98" s="8">
        <v>80</v>
      </c>
      <c r="E98" s="8">
        <v>12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3.5" customHeight="1" x14ac:dyDescent="0.2">
      <c r="A99" s="8" t="s">
        <v>116</v>
      </c>
      <c r="B99" s="8">
        <v>3</v>
      </c>
      <c r="C99" s="8">
        <v>58</v>
      </c>
      <c r="D99" s="8">
        <v>60</v>
      </c>
      <c r="E99" s="8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3.5" customHeight="1" x14ac:dyDescent="0.2">
      <c r="A100" s="8" t="s">
        <v>117</v>
      </c>
      <c r="B100" s="8">
        <v>3</v>
      </c>
      <c r="C100" s="8">
        <v>41</v>
      </c>
      <c r="D100" s="8">
        <v>51</v>
      </c>
      <c r="E100" s="8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3.5" customHeight="1" x14ac:dyDescent="0.2">
      <c r="A101" s="8" t="s">
        <v>118</v>
      </c>
      <c r="B101" s="8">
        <v>3</v>
      </c>
      <c r="C101" s="8">
        <v>61</v>
      </c>
      <c r="D101" s="8">
        <v>70</v>
      </c>
      <c r="E101" s="8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3.5" customHeight="1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3.5" customHeight="1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3.5" customHeight="1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3.5" customHeight="1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3.5" customHeight="1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3.5" customHeight="1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3.5" customHeight="1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3.5" customHeight="1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3.5" customHeight="1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3.5" customHeight="1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3.5" customHeight="1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3.5" customHeight="1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3.5" customHeight="1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3.5" customHeight="1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3.5" customHeight="1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3.5" customHeight="1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3.5" customHeight="1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3.5" customHeight="1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3.5" customHeight="1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3.5" customHeight="1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3.5" customHeight="1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3.5" customHeight="1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3.5" customHeight="1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3.5" customHeight="1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3.5" customHeight="1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3.5" customHeight="1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3.5" customHeight="1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3.5" customHeight="1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3.5" customHeight="1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3.5" customHeight="1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3.5" customHeight="1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3.5" customHeight="1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3.5" customHeight="1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3.5" customHeight="1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3.5" customHeight="1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3.5" customHeight="1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3.5" customHeight="1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3.5" customHeight="1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3.5" customHeight="1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3.5" customHeight="1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3.5" customHeight="1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3.5" customHeight="1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3.5" customHeight="1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3.5" customHeight="1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3.5" customHeight="1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3.5" customHeight="1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3.5" customHeight="1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3.5" customHeight="1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3.5" customHeight="1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3.5" customHeight="1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3.5" customHeight="1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3.5" customHeight="1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3.5" customHeight="1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3.5" customHeight="1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3.5" customHeight="1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3.5" customHeight="1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3.5" customHeight="1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3.5" customHeight="1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3.5" customHeight="1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3.5" customHeight="1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3.5" customHeight="1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3.5" customHeight="1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3.5" customHeight="1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3.5" customHeight="1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3.5" customHeight="1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3.5" customHeight="1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3.5" customHeight="1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3.5" customHeight="1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3.5" customHeight="1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3.5" customHeight="1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3.5" customHeight="1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3.5" customHeight="1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3.5" customHeight="1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3.5" customHeight="1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3.5" customHeight="1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3.5" customHeight="1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3.5" customHeight="1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3.5" customHeight="1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3.5" customHeight="1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3.5" customHeight="1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3.5" customHeight="1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3.5" customHeight="1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3.5" customHeight="1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3.5" customHeight="1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3.5" customHeight="1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3.5" customHeight="1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3.5" customHeight="1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3.5" customHeight="1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3.5" customHeight="1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3.5" customHeight="1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3.5" customHeight="1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3.5" customHeight="1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3.5" customHeight="1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3.5" customHeight="1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3.5" customHeight="1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3.5" customHeight="1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3.5" customHeight="1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3.5" customHeight="1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3.5" customHeight="1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3.5" customHeight="1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3.5" customHeight="1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3.5" customHeight="1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3.5" customHeight="1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3.5" customHeight="1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3.5" customHeight="1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3.5" customHeight="1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3.5" customHeight="1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3.5" customHeight="1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3.5" customHeight="1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3.5" customHeight="1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3.5" customHeight="1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3.5" customHeight="1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3.5" customHeight="1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3.5" customHeight="1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3.5" customHeight="1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3.5" customHeight="1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3.5" customHeight="1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3.5" customHeight="1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3.5" customHeight="1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3.5" customHeight="1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3.5" customHeight="1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3.5" customHeight="1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3.5" customHeight="1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3.5" customHeight="1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3.5" customHeight="1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3.5" customHeight="1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3.5" customHeight="1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3.5" customHeight="1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3.5" customHeight="1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3.5" customHeight="1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3.5" customHeight="1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3.5" customHeight="1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3.5" customHeight="1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3.5" customHeight="1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3.5" customHeight="1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3.5" customHeight="1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3.5" customHeight="1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3.5" customHeight="1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3.5" customHeight="1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3.5" customHeight="1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3.5" customHeight="1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3.5" customHeight="1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3.5" customHeight="1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3.5" customHeight="1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3.5" customHeight="1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3.5" customHeight="1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3.5" customHeight="1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3.5" customHeight="1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3.5" customHeight="1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3.5" customHeight="1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3.5" customHeight="1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3.5" customHeight="1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3.5" customHeight="1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3.5" customHeight="1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3.5" customHeight="1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3.5" customHeight="1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3.5" customHeight="1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3.5" customHeight="1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3.5" customHeight="1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3.5" customHeight="1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3.5" customHeight="1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3.5" customHeight="1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3.5" customHeight="1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3.5" customHeight="1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3.5" customHeight="1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3.5" customHeight="1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3.5" customHeight="1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3.5" customHeight="1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3.5" customHeight="1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3.5" customHeight="1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3.5" customHeight="1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3.5" customHeight="1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3.5" customHeight="1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3.5" customHeight="1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3.5" customHeight="1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3.5" customHeight="1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3.5" customHeight="1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3.5" customHeight="1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3.5" customHeight="1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3.5" customHeight="1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3.5" customHeight="1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3.5" customHeight="1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3.5" customHeight="1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3.5" customHeight="1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3.5" customHeight="1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3.5" customHeight="1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3.5" customHeight="1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3.5" customHeight="1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3.5" customHeight="1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3.5" customHeight="1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3.5" customHeight="1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3.5" customHeight="1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3.5" customHeight="1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3.5" customHeight="1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3.5" customHeight="1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3.5" customHeight="1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3.5" customHeight="1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3.5" customHeight="1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3.5" customHeight="1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3.5" customHeight="1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3.5" customHeight="1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3.5" customHeight="1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3.5" customHeight="1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3.5" customHeight="1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3.5" customHeight="1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3.5" customHeight="1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3.5" customHeight="1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3.5" customHeight="1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3.5" customHeight="1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3.5" customHeight="1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3.5" customHeight="1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3.5" customHeight="1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3.5" customHeight="1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3.5" customHeight="1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3.5" customHeight="1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3.5" customHeight="1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3.5" customHeight="1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3.5" customHeight="1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3.5" customHeight="1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3.5" customHeight="1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3.5" customHeight="1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3.5" customHeight="1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3.5" customHeight="1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3.5" customHeight="1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3.5" customHeight="1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3.5" customHeight="1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3.5" customHeight="1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3.5" customHeight="1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3.5" customHeight="1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3.5" customHeight="1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3.5" customHeight="1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3.5" customHeight="1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3.5" customHeight="1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3.5" customHeight="1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3.5" customHeight="1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3.5" customHeight="1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3.5" customHeight="1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3.5" customHeight="1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3.5" customHeight="1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3.5" customHeight="1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3.5" customHeight="1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3.5" customHeight="1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3.5" customHeight="1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3.5" customHeight="1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3.5" customHeight="1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3.5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3.5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3.5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3.5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3.5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3.5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3.5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3.5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3.5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3.5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3.5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3.5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3.5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3.5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3.5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3.5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3.5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3.5" customHeight="1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3.5" customHeight="1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3.5" customHeight="1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3.5" customHeight="1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3.5" customHeight="1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3.5" customHeight="1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3.5" customHeight="1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3.5" customHeight="1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3.5" customHeight="1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3.5" customHeight="1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3.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3.5" customHeight="1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3.5" customHeight="1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3.5" customHeight="1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3.5" customHeight="1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3.5" customHeight="1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3.5" customHeight="1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3.5" customHeight="1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3.5" customHeight="1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3.5" customHeight="1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3.5" customHeight="1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3.5" customHeight="1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3.5" customHeight="1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3.5" customHeight="1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3.5" customHeight="1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3.5" customHeight="1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3.5" customHeight="1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3.5" customHeight="1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3.5" customHeight="1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3.5" customHeight="1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3.5" customHeight="1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3.5" customHeight="1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3.5" customHeight="1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3.5" customHeight="1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3.5" customHeight="1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3.5" customHeight="1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3.5" customHeight="1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3.5" customHeight="1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3.5" customHeight="1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3.5" customHeight="1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3.5" customHeight="1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3.5" customHeight="1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3.5" customHeight="1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3.5" customHeight="1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3.5" customHeight="1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3.5" customHeight="1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3.5" customHeight="1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3.5" customHeight="1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3.5" customHeight="1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3.5" customHeight="1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3.5" customHeight="1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3.5" customHeight="1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3.5" customHeight="1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3.5" customHeight="1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3.5" customHeight="1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3.5" customHeight="1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3.5" customHeight="1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3.5" customHeight="1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3.5" customHeight="1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3.5" customHeight="1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3.5" customHeight="1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3.5" customHeight="1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3.5" customHeight="1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3.5" customHeight="1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3.5" customHeight="1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3.5" customHeight="1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3.5" customHeight="1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3.5" customHeight="1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3.5" customHeight="1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3.5" customHeight="1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3.5" customHeight="1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3.5" customHeight="1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3.5" customHeight="1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3.5" customHeight="1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3.5" customHeight="1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3.5" customHeight="1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3.5" customHeight="1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3.5" customHeight="1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3.5" customHeight="1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3.5" customHeight="1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3.5" customHeight="1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3.5" customHeight="1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3.5" customHeight="1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3.5" customHeight="1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3.5" customHeight="1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3.5" customHeight="1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3.5" customHeight="1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3.5" customHeight="1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3.5" customHeight="1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3.5" customHeight="1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3.5" customHeight="1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3.5" customHeight="1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3.5" customHeight="1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3.5" customHeight="1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3.5" customHeight="1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3.5" customHeight="1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3.5" customHeight="1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3.5" customHeight="1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3.5" customHeight="1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3.5" customHeight="1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3.5" customHeight="1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3.5" customHeight="1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3.5" customHeight="1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3.5" customHeight="1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3.5" customHeight="1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3.5" customHeight="1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3.5" customHeight="1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3.5" customHeight="1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3.5" customHeight="1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3.5" customHeight="1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3.5" customHeight="1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3.5" customHeight="1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3.5" customHeight="1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3.5" customHeight="1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3.5" customHeight="1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3.5" customHeight="1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3.5" customHeight="1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3.5" customHeight="1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3.5" customHeight="1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3.5" customHeight="1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3.5" customHeight="1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3.5" customHeight="1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3.5" customHeight="1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3.5" customHeight="1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3.5" customHeight="1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3.5" customHeight="1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3.5" customHeight="1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3.5" customHeight="1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3.5" customHeight="1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3.5" customHeight="1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3.5" customHeight="1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3.5" customHeight="1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3.5" customHeight="1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3.5" customHeight="1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3.5" customHeight="1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3.5" customHeight="1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3.5" customHeight="1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3.5" customHeight="1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3.5" customHeight="1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3.5" customHeight="1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3.5" customHeight="1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3.5" customHeight="1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3.5" customHeight="1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3.5" customHeight="1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3.5" customHeight="1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3.5" customHeight="1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3.5" customHeight="1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3.5" customHeight="1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3.5" customHeight="1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3.5" customHeight="1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3.5" customHeight="1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3.5" customHeight="1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3.5" customHeight="1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3.5" customHeight="1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3.5" customHeight="1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3.5" customHeight="1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3.5" customHeight="1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3.5" customHeight="1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3.5" customHeight="1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3.5" customHeight="1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3.5" customHeight="1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3.5" customHeight="1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3.5" customHeight="1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3.5" customHeight="1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3.5" customHeight="1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3.5" customHeight="1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3.5" customHeight="1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3.5" customHeight="1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3.5" customHeight="1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3.5" customHeight="1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3.5" customHeight="1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3.5" customHeight="1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3.5" customHeight="1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3.5" customHeight="1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3.5" customHeight="1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3.5" customHeight="1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3.5" customHeight="1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3.5" customHeight="1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3.5" customHeight="1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3.5" customHeight="1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3.5" customHeight="1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3.5" customHeight="1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3.5" customHeight="1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3.5" customHeight="1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3.5" customHeight="1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3.5" customHeight="1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3.5" customHeight="1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3.5" customHeight="1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3.5" customHeight="1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3.5" customHeight="1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3.5" customHeight="1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3.5" customHeight="1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3.5" customHeight="1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3.5" customHeight="1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3.5" customHeight="1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3.5" customHeight="1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3.5" customHeight="1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3.5" customHeight="1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3.5" customHeight="1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3.5" customHeight="1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3.5" customHeight="1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3.5" customHeight="1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3.5" customHeight="1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3.5" customHeight="1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3.5" customHeight="1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3.5" customHeight="1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3.5" customHeight="1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3.5" customHeight="1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3.5" customHeight="1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3.5" customHeight="1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3.5" customHeight="1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3.5" customHeight="1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3.5" customHeight="1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3.5" customHeight="1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3.5" customHeight="1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3.5" customHeight="1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3.5" customHeight="1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3.5" customHeight="1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3.5" customHeight="1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3.5" customHeight="1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3.5" customHeight="1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3.5" customHeight="1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3.5" customHeight="1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3.5" customHeight="1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3.5" customHeight="1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3.5" customHeight="1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3.5" customHeight="1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3.5" customHeight="1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3.5" customHeight="1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3.5" customHeight="1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3.5" customHeight="1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3.5" customHeight="1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3.5" customHeight="1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3.5" customHeight="1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3.5" customHeight="1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3.5" customHeight="1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3.5" customHeight="1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3.5" customHeight="1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3.5" customHeight="1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3.5" customHeight="1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3.5" customHeight="1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3.5" customHeight="1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3.5" customHeight="1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3.5" customHeight="1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3.5" customHeight="1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3.5" customHeight="1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3.5" customHeight="1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3.5" customHeight="1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3.5" customHeight="1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3.5" customHeight="1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3.5" customHeight="1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3.5" customHeight="1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3.5" customHeight="1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3.5" customHeight="1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3.5" customHeight="1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3.5" customHeight="1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3.5" customHeight="1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3.5" customHeight="1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3.5" customHeight="1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3.5" customHeight="1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3.5" customHeight="1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3.5" customHeight="1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3.5" customHeight="1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3.5" customHeight="1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3.5" customHeight="1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3.5" customHeight="1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3.5" customHeight="1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3.5" customHeight="1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3.5" customHeight="1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3.5" customHeight="1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3.5" customHeight="1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3.5" customHeight="1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3.5" customHeight="1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3.5" customHeight="1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3.5" customHeight="1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3.5" customHeight="1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3.5" customHeight="1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3.5" customHeight="1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3.5" customHeight="1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3.5" customHeight="1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3.5" customHeight="1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3.5" customHeight="1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3.5" customHeight="1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3.5" customHeight="1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3.5" customHeight="1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3.5" customHeight="1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3.5" customHeight="1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3.5" customHeight="1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3.5" customHeight="1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3.5" customHeight="1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3.5" customHeight="1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3.5" customHeight="1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3.5" customHeight="1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3.5" customHeight="1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3.5" customHeight="1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3.5" customHeight="1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3.5" customHeight="1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3.5" customHeight="1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3.5" customHeight="1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3.5" customHeight="1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3.5" customHeight="1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3.5" customHeight="1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3.5" customHeight="1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3.5" customHeight="1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3.5" customHeight="1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3.5" customHeight="1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3.5" customHeight="1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3.5" customHeight="1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3.5" customHeight="1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3.5" customHeight="1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3.5" customHeight="1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3.5" customHeight="1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3.5" customHeight="1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3.5" customHeight="1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3.5" customHeight="1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3.5" customHeight="1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3.5" customHeight="1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3.5" customHeight="1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3.5" customHeight="1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3.5" customHeight="1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3.5" customHeight="1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3.5" customHeight="1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3.5" customHeight="1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3.5" customHeight="1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3.5" customHeight="1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3.5" customHeight="1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3.5" customHeight="1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3.5" customHeight="1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3.5" customHeight="1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3.5" customHeight="1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3.5" customHeight="1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3.5" customHeight="1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3.5" customHeight="1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3.5" customHeight="1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3.5" customHeight="1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3.5" customHeight="1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3.5" customHeight="1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3.5" customHeight="1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3.5" customHeight="1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3.5" customHeight="1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3.5" customHeight="1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3.5" customHeight="1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3.5" customHeight="1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3.5" customHeight="1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3.5" customHeight="1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3.5" customHeight="1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3.5" customHeight="1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3.5" customHeight="1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3.5" customHeight="1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3.5" customHeight="1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3.5" customHeight="1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3.5" customHeight="1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3.5" customHeight="1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3.5" customHeight="1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3.5" customHeight="1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3.5" customHeight="1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3.5" customHeight="1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3.5" customHeight="1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3.5" customHeight="1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3.5" customHeight="1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3.5" customHeight="1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3.5" customHeight="1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3.5" customHeight="1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3.5" customHeight="1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3.5" customHeight="1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3.5" customHeight="1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3.5" customHeight="1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3.5" customHeight="1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3.5" customHeight="1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3.5" customHeight="1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3.5" customHeight="1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3.5" customHeight="1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3.5" customHeight="1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3.5" customHeight="1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3.5" customHeight="1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3.5" customHeight="1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3.5" customHeight="1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3.5" customHeight="1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3.5" customHeight="1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3.5" customHeight="1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3.5" customHeight="1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3.5" customHeight="1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3.5" customHeight="1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3.5" customHeight="1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3.5" customHeight="1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3.5" customHeight="1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3.5" customHeight="1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3.5" customHeight="1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3.5" customHeight="1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3.5" customHeight="1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3.5" customHeight="1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3.5" customHeight="1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3.5" customHeight="1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3.5" customHeight="1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3.5" customHeight="1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3.5" customHeight="1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3.5" customHeight="1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3.5" customHeight="1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3.5" customHeight="1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3.5" customHeight="1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3.5" customHeight="1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3.5" customHeight="1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3.5" customHeight="1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3.5" customHeight="1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3.5" customHeight="1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3.5" customHeight="1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3.5" customHeight="1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3.5" customHeight="1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3.5" customHeight="1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3.5" customHeight="1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3.5" customHeight="1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3.5" customHeight="1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3.5" customHeight="1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3.5" customHeight="1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3.5" customHeight="1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3.5" customHeight="1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3.5" customHeight="1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3.5" customHeight="1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3.5" customHeight="1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3.5" customHeight="1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3.5" customHeight="1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3.5" customHeight="1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3.5" customHeight="1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3.5" customHeight="1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3.5" customHeight="1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3.5" customHeight="1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3.5" customHeight="1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3.5" customHeight="1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3.5" customHeight="1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3.5" customHeight="1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3.5" customHeight="1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3.5" customHeight="1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3.5" customHeight="1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3.5" customHeight="1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3.5" customHeight="1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3.5" customHeight="1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3.5" customHeight="1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3.5" customHeight="1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3.5" customHeight="1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3.5" customHeight="1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3.5" customHeight="1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3.5" customHeight="1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3.5" customHeight="1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3.5" customHeight="1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3.5" customHeight="1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3.5" customHeight="1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3.5" customHeight="1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3.5" customHeight="1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3.5" customHeight="1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3.5" customHeight="1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3.5" customHeight="1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3.5" customHeight="1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3.5" customHeight="1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3.5" customHeight="1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3.5" customHeight="1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3.5" customHeight="1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3.5" customHeight="1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3.5" customHeight="1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3.5" customHeight="1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3.5" customHeight="1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3.5" customHeight="1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3.5" customHeight="1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3.5" customHeight="1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3.5" customHeight="1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3.5" customHeight="1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3.5" customHeight="1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3.5" customHeight="1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3.5" customHeight="1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3.5" customHeight="1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3.5" customHeight="1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3.5" customHeight="1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3.5" customHeight="1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3.5" customHeight="1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3.5" customHeight="1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3.5" customHeight="1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3.5" customHeight="1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3.5" customHeight="1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3.5" customHeight="1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3.5" customHeight="1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3.5" customHeight="1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3.5" customHeight="1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3.5" customHeight="1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3.5" customHeight="1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3.5" customHeight="1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3.5" customHeight="1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3.5" customHeight="1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3.5" customHeight="1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3.5" customHeight="1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3.5" customHeight="1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3.5" customHeight="1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3.5" customHeight="1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3.5" customHeight="1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3.5" customHeight="1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3.5" customHeight="1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3.5" customHeight="1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3.5" customHeight="1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3.5" customHeight="1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3.5" customHeight="1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3.5" customHeight="1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3.5" customHeight="1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3.5" customHeight="1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3.5" customHeight="1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3.5" customHeight="1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3.5" customHeight="1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3.5" customHeight="1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3.5" customHeight="1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3.5" customHeight="1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3.5" customHeight="1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3.5" customHeight="1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3.5" customHeight="1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3.5" customHeight="1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3.5" customHeight="1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3.5" customHeight="1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3.5" customHeight="1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3.5" customHeight="1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3.5" customHeight="1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3.5" customHeight="1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3.5" customHeight="1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3.5" customHeight="1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3.5" customHeight="1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3.5" customHeight="1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3.5" customHeight="1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3.5" customHeight="1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3.5" customHeight="1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3.5" customHeight="1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3.5" customHeight="1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3.5" customHeight="1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3.5" customHeight="1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3.5" customHeight="1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3.5" customHeight="1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3.5" customHeight="1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3.5" customHeight="1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3.5" customHeight="1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3.5" customHeight="1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3.5" customHeight="1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3.5" customHeight="1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3.5" customHeight="1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3.5" customHeight="1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3.5" customHeight="1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3.5" customHeight="1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3.5" customHeight="1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3.5" customHeight="1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3.5" customHeight="1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3.5" customHeight="1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3.5" customHeight="1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3.5" customHeight="1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3.5" customHeight="1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3.5" customHeight="1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3.5" customHeight="1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3.5" customHeight="1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3.5" customHeight="1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3.5" customHeight="1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3.5" customHeight="1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3.5" customHeight="1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3.5" customHeight="1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3.5" customHeight="1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3.5" customHeight="1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3.5" customHeight="1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3.5" customHeight="1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3.5" customHeight="1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3.5" customHeight="1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3.5" customHeight="1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3.5" customHeight="1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3.5" customHeight="1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3.5" customHeight="1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3.5" customHeight="1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3.5" customHeight="1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3.5" customHeight="1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3.5" customHeight="1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3.5" customHeight="1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3.5" customHeight="1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3.5" customHeight="1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3.5" customHeight="1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3.5" customHeight="1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3.5" customHeight="1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3.5" customHeight="1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3.5" customHeight="1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3.5" customHeight="1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3.5" customHeight="1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3.5" customHeight="1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3.5" customHeight="1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3.5" customHeight="1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3.5" customHeight="1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3.5" customHeight="1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3.5" customHeight="1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3.5" customHeight="1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3.5" customHeight="1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3.5" customHeight="1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3.5" customHeight="1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3.5" customHeight="1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3.5" customHeight="1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3.5" customHeight="1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3.5" customHeight="1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3.5" customHeight="1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3.5" customHeight="1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3.5" customHeight="1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3.5" customHeight="1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3.5" customHeight="1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3.5" customHeight="1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3.5" customHeight="1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3.5" customHeight="1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3.5" customHeight="1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3.5" customHeight="1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3.5" customHeight="1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3.5" customHeight="1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3.5" customHeight="1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3.5" customHeight="1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3.5" customHeight="1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3.5" customHeight="1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3.5" customHeight="1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3.5" customHeight="1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3.5" customHeight="1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3.5" customHeight="1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3.5" customHeight="1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3.5" customHeight="1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3.5" customHeight="1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3.5" customHeight="1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3.5" customHeight="1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3.5" customHeight="1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3.5" customHeight="1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3.5" customHeight="1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3.5" customHeight="1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3.5" customHeight="1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3.5" customHeight="1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3.5" customHeight="1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3.5" customHeight="1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3.5" customHeight="1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3.5" customHeight="1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3.5" customHeight="1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3.5" customHeight="1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3.5" customHeight="1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3.5" customHeight="1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3.5" customHeight="1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3.5" customHeight="1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3.5" customHeight="1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3.5" customHeight="1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3.5" customHeight="1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C1000"/>
  <sheetViews>
    <sheetView workbookViewId="0">
      <selection activeCell="F13" sqref="F13"/>
    </sheetView>
  </sheetViews>
  <sheetFormatPr defaultColWidth="12.5703125" defaultRowHeight="15" customHeight="1" x14ac:dyDescent="0.2"/>
  <cols>
    <col min="1" max="1" width="10.5703125" customWidth="1"/>
    <col min="2" max="2" width="18.5703125" customWidth="1"/>
    <col min="3" max="3" width="22.42578125" customWidth="1"/>
    <col min="4" max="4" width="14.85546875" customWidth="1"/>
    <col min="5" max="5" width="15" customWidth="1"/>
    <col min="6" max="6" width="10.5703125" customWidth="1"/>
    <col min="7" max="7" width="13.42578125" customWidth="1"/>
    <col min="8" max="81" width="10.5703125" customWidth="1"/>
  </cols>
  <sheetData>
    <row r="1" spans="1:81" ht="12.75" customHeight="1" x14ac:dyDescent="0.2">
      <c r="A1" s="9" t="s">
        <v>14</v>
      </c>
      <c r="B1" s="9" t="s">
        <v>119</v>
      </c>
      <c r="C1" s="9" t="s">
        <v>13</v>
      </c>
      <c r="D1" s="9" t="s">
        <v>15</v>
      </c>
      <c r="J1" s="9" t="s">
        <v>120</v>
      </c>
    </row>
    <row r="2" spans="1:81" ht="12.75" customHeight="1" x14ac:dyDescent="0.2">
      <c r="A2" s="10" t="s">
        <v>19</v>
      </c>
      <c r="B2" s="10">
        <v>446000</v>
      </c>
      <c r="C2" s="10">
        <v>22300</v>
      </c>
      <c r="D2" s="10">
        <v>5</v>
      </c>
      <c r="I2" s="9" t="s">
        <v>15</v>
      </c>
      <c r="J2" s="10">
        <v>1</v>
      </c>
      <c r="K2" s="10">
        <v>2</v>
      </c>
      <c r="L2" s="10">
        <v>3</v>
      </c>
      <c r="M2" s="10">
        <v>4</v>
      </c>
      <c r="N2" s="10">
        <v>5</v>
      </c>
      <c r="O2" s="10">
        <v>6</v>
      </c>
      <c r="P2" s="10">
        <v>7</v>
      </c>
      <c r="Q2" s="10">
        <v>8</v>
      </c>
      <c r="R2" s="10">
        <v>9</v>
      </c>
      <c r="S2" s="10">
        <v>10</v>
      </c>
      <c r="T2" s="10">
        <v>11</v>
      </c>
      <c r="U2" s="10">
        <v>12</v>
      </c>
      <c r="V2" s="10">
        <v>13</v>
      </c>
      <c r="W2" s="10">
        <v>14</v>
      </c>
      <c r="X2" s="10">
        <v>15</v>
      </c>
      <c r="Y2" s="10">
        <v>16</v>
      </c>
      <c r="Z2" s="10">
        <v>17</v>
      </c>
      <c r="AA2" s="10">
        <v>18</v>
      </c>
      <c r="AB2" s="10">
        <v>19</v>
      </c>
      <c r="AC2" s="10">
        <v>20</v>
      </c>
      <c r="AD2" s="10">
        <v>21</v>
      </c>
      <c r="AE2" s="10">
        <v>22</v>
      </c>
      <c r="AF2" s="10">
        <v>23</v>
      </c>
      <c r="AG2" s="10">
        <v>24</v>
      </c>
      <c r="AH2" s="10">
        <v>25</v>
      </c>
      <c r="AI2" s="10">
        <v>26</v>
      </c>
      <c r="AJ2" s="10">
        <v>27</v>
      </c>
      <c r="AK2" s="10">
        <v>28</v>
      </c>
      <c r="AL2" s="10">
        <v>29</v>
      </c>
      <c r="AM2" s="10">
        <v>30</v>
      </c>
      <c r="AN2" s="10">
        <v>31</v>
      </c>
      <c r="AO2" s="10">
        <v>32</v>
      </c>
      <c r="AP2" s="10">
        <v>33</v>
      </c>
      <c r="AQ2" s="10">
        <v>34</v>
      </c>
      <c r="AR2" s="10">
        <v>35</v>
      </c>
      <c r="AS2" s="10">
        <v>36</v>
      </c>
      <c r="AT2" s="10">
        <v>37</v>
      </c>
      <c r="AU2" s="10">
        <v>38</v>
      </c>
      <c r="AV2" s="10">
        <v>39</v>
      </c>
      <c r="AW2" s="10">
        <v>40</v>
      </c>
      <c r="AX2" s="10">
        <v>41</v>
      </c>
      <c r="AY2" s="10">
        <v>42</v>
      </c>
      <c r="AZ2" s="10">
        <v>43</v>
      </c>
      <c r="BA2" s="10">
        <v>44</v>
      </c>
      <c r="BB2" s="10">
        <v>45</v>
      </c>
      <c r="BC2" s="10">
        <v>46</v>
      </c>
      <c r="BD2" s="10">
        <v>47</v>
      </c>
      <c r="BE2" s="10">
        <v>48</v>
      </c>
      <c r="BF2" s="10">
        <v>49</v>
      </c>
      <c r="BG2" s="10">
        <v>50</v>
      </c>
      <c r="BH2" s="10">
        <v>51</v>
      </c>
      <c r="BI2" s="10">
        <v>52</v>
      </c>
      <c r="BJ2" s="10">
        <v>53</v>
      </c>
      <c r="BK2" s="10">
        <v>54</v>
      </c>
      <c r="BL2" s="10">
        <v>55</v>
      </c>
      <c r="BM2" s="10">
        <v>56</v>
      </c>
      <c r="BN2" s="10">
        <v>57</v>
      </c>
      <c r="BO2" s="10">
        <v>58</v>
      </c>
      <c r="BP2" s="10">
        <v>59</v>
      </c>
      <c r="BQ2" s="10">
        <v>60</v>
      </c>
      <c r="BR2" s="10">
        <v>61</v>
      </c>
      <c r="BS2" s="10">
        <v>62</v>
      </c>
      <c r="BT2" s="10">
        <v>63</v>
      </c>
      <c r="BU2" s="10">
        <v>64</v>
      </c>
      <c r="BV2" s="10">
        <v>65</v>
      </c>
      <c r="BW2" s="10">
        <v>66</v>
      </c>
      <c r="BX2" s="10">
        <v>67</v>
      </c>
      <c r="BY2" s="10">
        <v>68</v>
      </c>
      <c r="BZ2" s="10">
        <v>69</v>
      </c>
      <c r="CA2" s="10">
        <v>70</v>
      </c>
      <c r="CB2" s="10">
        <v>71</v>
      </c>
      <c r="CC2" s="9" t="s">
        <v>121</v>
      </c>
    </row>
    <row r="3" spans="1:81" ht="12.75" customHeight="1" x14ac:dyDescent="0.2">
      <c r="A3" s="10" t="s">
        <v>20</v>
      </c>
      <c r="B3" s="10">
        <v>3280000</v>
      </c>
      <c r="C3" s="10">
        <v>80000</v>
      </c>
      <c r="D3" s="10">
        <v>4</v>
      </c>
      <c r="I3" s="9" t="s">
        <v>2</v>
      </c>
      <c r="J3" s="10">
        <v>15000</v>
      </c>
      <c r="K3" s="10">
        <v>75000</v>
      </c>
      <c r="L3" s="10">
        <v>75000</v>
      </c>
      <c r="M3" s="10">
        <v>105000</v>
      </c>
      <c r="N3" s="10">
        <v>105000</v>
      </c>
      <c r="O3" s="10">
        <v>105000</v>
      </c>
      <c r="P3" s="10">
        <v>165000</v>
      </c>
      <c r="Q3" s="10">
        <v>150000</v>
      </c>
      <c r="R3" s="10">
        <v>150000</v>
      </c>
      <c r="S3" s="10">
        <v>195000</v>
      </c>
      <c r="T3" s="10">
        <v>240000</v>
      </c>
      <c r="U3" s="10">
        <v>240000</v>
      </c>
      <c r="V3" s="10">
        <v>255000</v>
      </c>
      <c r="W3" s="10">
        <v>255000</v>
      </c>
      <c r="X3" s="10">
        <v>255000</v>
      </c>
      <c r="Y3" s="10">
        <v>255000</v>
      </c>
      <c r="Z3" s="10">
        <v>240000</v>
      </c>
      <c r="AA3" s="10">
        <v>225000</v>
      </c>
      <c r="AB3" s="10">
        <v>210000</v>
      </c>
      <c r="AC3" s="10">
        <v>180000</v>
      </c>
      <c r="AD3" s="10">
        <v>150000</v>
      </c>
      <c r="AE3" s="10">
        <v>135000</v>
      </c>
      <c r="AF3" s="10">
        <v>105000</v>
      </c>
      <c r="AG3" s="10">
        <v>90000</v>
      </c>
      <c r="AH3" s="10">
        <v>90000</v>
      </c>
      <c r="AI3" s="10">
        <v>90000</v>
      </c>
      <c r="AJ3" s="10">
        <v>90000</v>
      </c>
      <c r="AK3" s="10">
        <v>45000</v>
      </c>
      <c r="AL3" s="10">
        <v>30000</v>
      </c>
      <c r="AM3" s="10">
        <v>30000</v>
      </c>
      <c r="AN3" s="10">
        <v>30000</v>
      </c>
      <c r="AO3" s="10">
        <v>30000</v>
      </c>
      <c r="AP3" s="10">
        <v>30000</v>
      </c>
      <c r="CC3" s="10">
        <f t="shared" ref="CC3:CC9" si="0">SUM(J3:CB3)</f>
        <v>4440000</v>
      </c>
    </row>
    <row r="4" spans="1:81" ht="12.75" customHeight="1" x14ac:dyDescent="0.2">
      <c r="A4" s="10" t="s">
        <v>21</v>
      </c>
      <c r="B4" s="10">
        <v>439200</v>
      </c>
      <c r="C4" s="10">
        <v>7200</v>
      </c>
      <c r="D4" s="10">
        <v>3</v>
      </c>
      <c r="I4" s="9" t="s">
        <v>122</v>
      </c>
      <c r="J4" s="10">
        <v>75000</v>
      </c>
      <c r="K4" s="10">
        <v>75000</v>
      </c>
      <c r="L4" s="10">
        <v>100000</v>
      </c>
      <c r="M4" s="10">
        <v>100000</v>
      </c>
      <c r="N4" s="10">
        <v>100000</v>
      </c>
      <c r="O4" s="10">
        <v>125000</v>
      </c>
      <c r="P4" s="10">
        <v>125000</v>
      </c>
      <c r="Q4" s="10">
        <v>200000</v>
      </c>
      <c r="R4" s="10">
        <v>200000</v>
      </c>
      <c r="S4" s="10">
        <v>225000</v>
      </c>
      <c r="T4" s="10">
        <v>225000</v>
      </c>
      <c r="U4" s="10">
        <v>250000</v>
      </c>
      <c r="V4" s="10">
        <v>250000</v>
      </c>
      <c r="W4" s="10">
        <v>275000</v>
      </c>
      <c r="X4" s="10">
        <v>275000</v>
      </c>
      <c r="Y4" s="10">
        <v>275000</v>
      </c>
      <c r="Z4" s="10">
        <v>325000</v>
      </c>
      <c r="AA4" s="10">
        <v>325000</v>
      </c>
      <c r="AB4" s="10">
        <v>350000</v>
      </c>
      <c r="AC4" s="10">
        <v>375000</v>
      </c>
      <c r="AD4" s="10">
        <v>375000</v>
      </c>
      <c r="AE4" s="10">
        <v>375000</v>
      </c>
      <c r="AF4" s="10">
        <v>375000</v>
      </c>
      <c r="AG4" s="10">
        <v>400000</v>
      </c>
      <c r="AH4" s="10">
        <v>425000</v>
      </c>
      <c r="AI4" s="10">
        <v>400000</v>
      </c>
      <c r="AJ4" s="10">
        <v>375000</v>
      </c>
      <c r="AK4" s="10">
        <v>375000</v>
      </c>
      <c r="AL4" s="10">
        <v>350000</v>
      </c>
      <c r="AM4" s="10">
        <v>350000</v>
      </c>
      <c r="AN4" s="10">
        <v>350000</v>
      </c>
      <c r="AO4" s="10">
        <v>350000</v>
      </c>
      <c r="AP4" s="10">
        <v>325000</v>
      </c>
      <c r="AQ4" s="10">
        <v>325000</v>
      </c>
      <c r="AR4" s="10">
        <v>325000</v>
      </c>
      <c r="AS4" s="10">
        <v>300000</v>
      </c>
      <c r="AT4" s="10">
        <v>300000</v>
      </c>
      <c r="AU4" s="10">
        <v>225000</v>
      </c>
      <c r="AV4" s="10">
        <v>225000</v>
      </c>
      <c r="AW4" s="10">
        <v>200000</v>
      </c>
      <c r="AX4" s="10">
        <v>200000</v>
      </c>
      <c r="AY4" s="10">
        <v>175000</v>
      </c>
      <c r="AZ4" s="10">
        <v>175000</v>
      </c>
      <c r="BA4" s="10">
        <v>150000</v>
      </c>
      <c r="BB4" s="10">
        <v>150000</v>
      </c>
      <c r="BC4" s="10">
        <v>150000</v>
      </c>
      <c r="BD4" s="10">
        <v>100000</v>
      </c>
      <c r="BE4" s="10">
        <v>100000</v>
      </c>
      <c r="BF4" s="10">
        <v>75000</v>
      </c>
      <c r="BG4" s="10">
        <v>50000</v>
      </c>
      <c r="BH4" s="10">
        <v>50000</v>
      </c>
      <c r="BI4" s="10">
        <v>50000</v>
      </c>
      <c r="BJ4" s="10">
        <v>50000</v>
      </c>
      <c r="BK4" s="10">
        <v>25000</v>
      </c>
      <c r="CC4" s="10">
        <f t="shared" si="0"/>
        <v>12475000</v>
      </c>
    </row>
    <row r="5" spans="1:81" ht="12.75" customHeight="1" x14ac:dyDescent="0.2">
      <c r="A5" s="10" t="s">
        <v>22</v>
      </c>
      <c r="B5" s="10">
        <v>285000</v>
      </c>
      <c r="C5" s="10">
        <v>15000</v>
      </c>
      <c r="D5" s="10">
        <v>1</v>
      </c>
      <c r="G5" s="9" t="s">
        <v>123</v>
      </c>
      <c r="I5" s="9" t="s">
        <v>124</v>
      </c>
      <c r="J5" s="10">
        <v>14400</v>
      </c>
      <c r="K5" s="10">
        <v>28800</v>
      </c>
      <c r="L5" s="10">
        <v>43200</v>
      </c>
      <c r="M5" s="10">
        <v>57600</v>
      </c>
      <c r="N5" s="10">
        <v>64800</v>
      </c>
      <c r="O5" s="10">
        <v>72000</v>
      </c>
      <c r="P5" s="10">
        <v>72000</v>
      </c>
      <c r="Q5" s="10">
        <v>79200</v>
      </c>
      <c r="R5" s="10">
        <v>79200</v>
      </c>
      <c r="S5" s="10">
        <v>86400</v>
      </c>
      <c r="T5" s="10">
        <v>108000</v>
      </c>
      <c r="U5" s="10">
        <v>115200</v>
      </c>
      <c r="V5" s="10">
        <v>136800</v>
      </c>
      <c r="W5" s="10">
        <v>151200</v>
      </c>
      <c r="X5" s="10">
        <v>158400</v>
      </c>
      <c r="Y5" s="10">
        <v>165600</v>
      </c>
      <c r="Z5" s="10">
        <v>165600</v>
      </c>
      <c r="AA5" s="10">
        <v>165600</v>
      </c>
      <c r="AB5" s="10">
        <v>165600</v>
      </c>
      <c r="AC5" s="10">
        <v>165600</v>
      </c>
      <c r="AD5" s="10">
        <v>165600</v>
      </c>
      <c r="AE5" s="10">
        <v>165600</v>
      </c>
      <c r="AF5" s="10">
        <v>165600</v>
      </c>
      <c r="AG5" s="10">
        <v>165600</v>
      </c>
      <c r="AH5" s="10">
        <v>165600</v>
      </c>
      <c r="AI5" s="10">
        <v>165600</v>
      </c>
      <c r="AJ5" s="10">
        <v>165600</v>
      </c>
      <c r="AK5" s="10">
        <v>165600</v>
      </c>
      <c r="AL5" s="10">
        <v>165600</v>
      </c>
      <c r="AM5" s="10">
        <v>165600</v>
      </c>
      <c r="AN5" s="10">
        <v>165600</v>
      </c>
      <c r="AO5" s="10">
        <v>165600</v>
      </c>
      <c r="AP5" s="10">
        <v>165600</v>
      </c>
      <c r="AQ5" s="10">
        <v>165600</v>
      </c>
      <c r="AR5" s="10">
        <v>165600</v>
      </c>
      <c r="AS5" s="10">
        <v>165600</v>
      </c>
      <c r="AT5" s="10">
        <v>165600</v>
      </c>
      <c r="AU5" s="10">
        <v>165600</v>
      </c>
      <c r="AV5" s="10">
        <v>165600</v>
      </c>
      <c r="AW5" s="10">
        <v>165600</v>
      </c>
      <c r="AX5" s="10">
        <v>165600</v>
      </c>
      <c r="AY5" s="10">
        <v>158400</v>
      </c>
      <c r="AZ5" s="10">
        <v>158400</v>
      </c>
      <c r="BA5" s="10">
        <v>144000</v>
      </c>
      <c r="BB5" s="10">
        <v>136800</v>
      </c>
      <c r="BC5" s="10">
        <v>122400</v>
      </c>
      <c r="BD5" s="10">
        <v>122400</v>
      </c>
      <c r="BE5" s="10">
        <v>122400</v>
      </c>
      <c r="BF5" s="10">
        <v>108000</v>
      </c>
      <c r="BG5" s="10">
        <v>108000</v>
      </c>
      <c r="BH5" s="10">
        <v>100800</v>
      </c>
      <c r="BI5" s="10">
        <v>100800</v>
      </c>
      <c r="BJ5" s="10">
        <v>100800</v>
      </c>
      <c r="BK5" s="10">
        <v>93600</v>
      </c>
      <c r="BL5" s="10">
        <v>79200</v>
      </c>
      <c r="BM5" s="10">
        <v>79200</v>
      </c>
      <c r="BN5" s="10">
        <v>72000</v>
      </c>
      <c r="BO5" s="10">
        <v>72000</v>
      </c>
      <c r="BP5" s="10">
        <v>64800</v>
      </c>
      <c r="BQ5" s="10">
        <v>64800</v>
      </c>
      <c r="BR5" s="10">
        <v>50400</v>
      </c>
      <c r="BS5" s="10">
        <v>50400</v>
      </c>
      <c r="BT5" s="10">
        <v>43200</v>
      </c>
      <c r="BU5" s="10">
        <v>36000</v>
      </c>
      <c r="BV5" s="10">
        <v>36000</v>
      </c>
      <c r="BW5" s="10">
        <v>36000</v>
      </c>
      <c r="BX5" s="10">
        <v>21600</v>
      </c>
      <c r="BY5" s="10">
        <v>21600</v>
      </c>
      <c r="BZ5" s="10">
        <v>21600</v>
      </c>
      <c r="CA5" s="10">
        <v>21600</v>
      </c>
      <c r="CB5" s="10">
        <v>7200</v>
      </c>
      <c r="CC5" s="10">
        <f t="shared" si="0"/>
        <v>7927200</v>
      </c>
    </row>
    <row r="6" spans="1:81" ht="12.75" customHeight="1" x14ac:dyDescent="0.2">
      <c r="A6" s="10" t="s">
        <v>23</v>
      </c>
      <c r="B6" s="10">
        <v>750000</v>
      </c>
      <c r="C6" s="10">
        <v>25000</v>
      </c>
      <c r="D6" s="10">
        <v>2</v>
      </c>
      <c r="F6" s="10">
        <v>1</v>
      </c>
      <c r="G6" s="10">
        <v>4440000</v>
      </c>
      <c r="I6" s="9" t="s">
        <v>125</v>
      </c>
      <c r="J6" s="10">
        <v>64000</v>
      </c>
      <c r="K6" s="10">
        <v>65000</v>
      </c>
      <c r="L6" s="10">
        <v>126000</v>
      </c>
      <c r="M6" s="10">
        <v>128000</v>
      </c>
      <c r="N6" s="10">
        <v>190000</v>
      </c>
      <c r="O6" s="10">
        <v>253000</v>
      </c>
      <c r="P6" s="10">
        <v>257000</v>
      </c>
      <c r="Q6" s="10">
        <v>321000</v>
      </c>
      <c r="R6" s="10">
        <v>326000</v>
      </c>
      <c r="S6" s="10">
        <v>391000</v>
      </c>
      <c r="T6" s="10">
        <v>517000</v>
      </c>
      <c r="U6" s="10">
        <v>525000</v>
      </c>
      <c r="V6" s="10">
        <v>533000</v>
      </c>
      <c r="W6" s="10">
        <v>541000</v>
      </c>
      <c r="X6" s="10">
        <v>609000</v>
      </c>
      <c r="Y6" s="10">
        <v>618000</v>
      </c>
      <c r="Z6" s="10">
        <v>627000</v>
      </c>
      <c r="AA6" s="10">
        <v>636000</v>
      </c>
      <c r="AB6" s="10">
        <v>645000</v>
      </c>
      <c r="AC6" s="10">
        <v>654000</v>
      </c>
      <c r="AD6" s="10">
        <v>663000</v>
      </c>
      <c r="AE6" s="10">
        <v>672000</v>
      </c>
      <c r="AF6" s="10">
        <v>681000</v>
      </c>
      <c r="AG6" s="10">
        <v>690000</v>
      </c>
      <c r="AH6" s="10">
        <v>699000</v>
      </c>
      <c r="AI6" s="10">
        <v>708000</v>
      </c>
      <c r="AJ6" s="10">
        <v>717000</v>
      </c>
      <c r="AK6" s="10">
        <v>726000</v>
      </c>
      <c r="AL6" s="10">
        <v>735000</v>
      </c>
      <c r="AM6" s="10">
        <v>744000</v>
      </c>
      <c r="AN6" s="10">
        <v>753000</v>
      </c>
      <c r="AO6" s="10">
        <v>762000</v>
      </c>
      <c r="AP6" s="10">
        <v>771000</v>
      </c>
      <c r="AQ6" s="10">
        <v>780000</v>
      </c>
      <c r="AR6" s="10">
        <v>789000</v>
      </c>
      <c r="AS6" s="10">
        <v>798000</v>
      </c>
      <c r="AT6" s="10">
        <v>807000</v>
      </c>
      <c r="AU6" s="10">
        <v>715000</v>
      </c>
      <c r="AV6" s="10">
        <v>723000</v>
      </c>
      <c r="AW6" s="10">
        <v>731000</v>
      </c>
      <c r="AX6" s="10">
        <v>739000</v>
      </c>
      <c r="AY6" s="10">
        <v>747000</v>
      </c>
      <c r="AZ6" s="10">
        <v>755000</v>
      </c>
      <c r="BA6" s="10">
        <v>662000</v>
      </c>
      <c r="BB6" s="10">
        <v>669000</v>
      </c>
      <c r="BC6" s="10">
        <v>575000</v>
      </c>
      <c r="BD6" s="10">
        <v>480000</v>
      </c>
      <c r="BE6" s="10">
        <v>485000</v>
      </c>
      <c r="BF6" s="10">
        <v>389000</v>
      </c>
      <c r="BG6" s="10">
        <v>393000</v>
      </c>
      <c r="BH6" s="10">
        <v>296000</v>
      </c>
      <c r="BI6" s="10">
        <v>97000</v>
      </c>
      <c r="BJ6" s="10">
        <v>98000</v>
      </c>
      <c r="BK6" s="10">
        <v>99000</v>
      </c>
      <c r="BL6" s="10">
        <v>100000</v>
      </c>
      <c r="CC6" s="10">
        <f t="shared" si="0"/>
        <v>29274000</v>
      </c>
    </row>
    <row r="7" spans="1:81" ht="12.75" customHeight="1" x14ac:dyDescent="0.2">
      <c r="A7" s="10" t="s">
        <v>24</v>
      </c>
      <c r="B7" s="10">
        <v>750000</v>
      </c>
      <c r="C7" s="10">
        <v>25000</v>
      </c>
      <c r="D7" s="10">
        <v>2</v>
      </c>
      <c r="F7" s="10">
        <v>2</v>
      </c>
      <c r="G7" s="10">
        <v>12750000</v>
      </c>
      <c r="I7" s="9" t="s">
        <v>126</v>
      </c>
      <c r="J7" s="10">
        <v>19000</v>
      </c>
      <c r="K7" s="10">
        <v>19000</v>
      </c>
      <c r="L7" s="10">
        <v>19000</v>
      </c>
      <c r="M7" s="10">
        <v>63000</v>
      </c>
      <c r="N7" s="10">
        <v>82000</v>
      </c>
      <c r="O7" s="10">
        <v>101000</v>
      </c>
      <c r="P7" s="10">
        <v>107000</v>
      </c>
      <c r="Q7" s="10">
        <v>126000</v>
      </c>
      <c r="R7" s="10">
        <v>101000</v>
      </c>
      <c r="S7" s="10">
        <v>120000</v>
      </c>
      <c r="T7" s="10">
        <v>95000</v>
      </c>
      <c r="U7" s="10">
        <v>101000</v>
      </c>
      <c r="V7" s="10">
        <v>101000</v>
      </c>
      <c r="W7" s="10">
        <v>145000</v>
      </c>
      <c r="X7" s="10">
        <v>145000</v>
      </c>
      <c r="Y7" s="10">
        <v>157000</v>
      </c>
      <c r="Z7" s="10">
        <v>163000</v>
      </c>
      <c r="AA7" s="10">
        <v>163000</v>
      </c>
      <c r="AB7" s="10">
        <v>163000</v>
      </c>
      <c r="AC7" s="10">
        <v>144000</v>
      </c>
      <c r="AD7" s="10">
        <v>144000</v>
      </c>
      <c r="AE7" s="10">
        <v>119000</v>
      </c>
      <c r="AF7" s="10">
        <v>125000</v>
      </c>
      <c r="AG7" s="10">
        <v>125000</v>
      </c>
      <c r="AH7" s="10">
        <v>100000</v>
      </c>
      <c r="AI7" s="10">
        <v>100000</v>
      </c>
      <c r="AJ7" s="10">
        <v>75000</v>
      </c>
      <c r="AK7" s="10">
        <v>50000</v>
      </c>
      <c r="AL7" s="10">
        <v>50000</v>
      </c>
      <c r="AM7" s="10">
        <v>50000</v>
      </c>
      <c r="AN7" s="10">
        <v>25000</v>
      </c>
      <c r="AO7" s="10">
        <v>25000</v>
      </c>
      <c r="CC7" s="10">
        <f t="shared" si="0"/>
        <v>3122000</v>
      </c>
    </row>
    <row r="8" spans="1:81" ht="12.75" customHeight="1" x14ac:dyDescent="0.2">
      <c r="A8" s="10" t="s">
        <v>25</v>
      </c>
      <c r="B8" s="10">
        <v>3280000</v>
      </c>
      <c r="C8" s="10">
        <v>80000</v>
      </c>
      <c r="D8" s="10">
        <v>4</v>
      </c>
      <c r="F8" s="10">
        <v>3</v>
      </c>
      <c r="G8" s="10">
        <v>7927200</v>
      </c>
      <c r="I8" s="9" t="s">
        <v>127</v>
      </c>
      <c r="K8" s="10"/>
      <c r="L8" s="10">
        <v>16666.666666666668</v>
      </c>
      <c r="M8" s="10">
        <v>16666.666666666668</v>
      </c>
      <c r="N8" s="10">
        <v>16666.666666666668</v>
      </c>
      <c r="O8" s="10">
        <v>16666.666666666668</v>
      </c>
      <c r="P8" s="10">
        <v>16666.666666666668</v>
      </c>
      <c r="Q8" s="10">
        <v>21428.571428571428</v>
      </c>
      <c r="R8" s="10">
        <v>9523.8095238095229</v>
      </c>
      <c r="S8" s="10">
        <v>9523.8095238095229</v>
      </c>
      <c r="T8" s="10">
        <v>9523.8095238095229</v>
      </c>
      <c r="U8" s="10">
        <v>9523.8095238095229</v>
      </c>
      <c r="V8" s="10">
        <v>9523.8095238095229</v>
      </c>
      <c r="W8" s="10">
        <v>14786.967418546366</v>
      </c>
      <c r="X8" s="10">
        <v>27286.96741854637</v>
      </c>
      <c r="Y8" s="10">
        <v>27286.96741854637</v>
      </c>
      <c r="Z8" s="10">
        <v>27286.96741854637</v>
      </c>
      <c r="AA8" s="10">
        <v>27286.96741854637</v>
      </c>
      <c r="AB8" s="10">
        <v>27286.96741854637</v>
      </c>
      <c r="AC8" s="10">
        <v>27286.96741854637</v>
      </c>
      <c r="AD8" s="10">
        <v>27286.96741854637</v>
      </c>
      <c r="AE8" s="10">
        <v>27286.96741854637</v>
      </c>
      <c r="AF8" s="10">
        <v>14786.967418546366</v>
      </c>
      <c r="AG8" s="10">
        <v>14786.967418546366</v>
      </c>
      <c r="AH8" s="10">
        <v>14786.967418546366</v>
      </c>
      <c r="AI8" s="10">
        <v>14786.967418546366</v>
      </c>
      <c r="AJ8" s="10">
        <v>14786.967418546366</v>
      </c>
      <c r="AK8" s="10">
        <v>14786.967418546366</v>
      </c>
      <c r="AL8" s="10">
        <v>10025.062656641603</v>
      </c>
      <c r="AM8" s="10">
        <v>5263.1578947368425</v>
      </c>
      <c r="AN8" s="10">
        <v>5263.1578947368425</v>
      </c>
      <c r="AO8" s="10">
        <v>5263.1578947368425</v>
      </c>
      <c r="CC8" s="10">
        <f t="shared" si="0"/>
        <v>500000.00000000023</v>
      </c>
    </row>
    <row r="9" spans="1:81" ht="12.75" customHeight="1" x14ac:dyDescent="0.2">
      <c r="A9" s="10" t="s">
        <v>26</v>
      </c>
      <c r="B9" s="10">
        <v>367200</v>
      </c>
      <c r="C9" s="10">
        <v>7200</v>
      </c>
      <c r="D9" s="10">
        <v>3</v>
      </c>
      <c r="F9" s="10">
        <v>4</v>
      </c>
      <c r="G9" s="10">
        <v>29520000</v>
      </c>
      <c r="I9" s="9" t="s">
        <v>128</v>
      </c>
      <c r="J9" s="10">
        <v>30000</v>
      </c>
      <c r="K9" s="10">
        <v>60000</v>
      </c>
      <c r="L9" s="10">
        <v>90000</v>
      </c>
      <c r="M9" s="10">
        <v>90000</v>
      </c>
      <c r="N9" s="10">
        <v>120000</v>
      </c>
      <c r="O9" s="10">
        <v>90000</v>
      </c>
      <c r="P9" s="10">
        <v>180000</v>
      </c>
      <c r="Q9" s="10">
        <v>90000</v>
      </c>
      <c r="R9" s="10">
        <v>180000</v>
      </c>
      <c r="S9" s="10">
        <v>120000</v>
      </c>
      <c r="T9" s="10">
        <v>210000</v>
      </c>
      <c r="U9" s="10">
        <v>120000</v>
      </c>
      <c r="V9" s="10">
        <v>180000</v>
      </c>
      <c r="W9" s="10">
        <v>90000</v>
      </c>
      <c r="X9" s="10">
        <v>210000</v>
      </c>
      <c r="Y9" s="10">
        <v>120000</v>
      </c>
      <c r="Z9" s="10">
        <v>180000</v>
      </c>
      <c r="AA9" s="10">
        <v>120000</v>
      </c>
      <c r="AB9" s="10">
        <v>180000</v>
      </c>
      <c r="AC9" s="10">
        <v>90000</v>
      </c>
      <c r="AD9" s="10">
        <v>120000</v>
      </c>
      <c r="AE9" s="10">
        <v>90000</v>
      </c>
      <c r="AF9" s="10">
        <v>90000</v>
      </c>
      <c r="AG9" s="10">
        <v>60000</v>
      </c>
      <c r="AH9" s="10">
        <v>30000</v>
      </c>
      <c r="AI9" s="10">
        <v>30000</v>
      </c>
      <c r="AJ9" s="10">
        <v>0</v>
      </c>
      <c r="AK9" s="10">
        <v>30000</v>
      </c>
      <c r="AL9" s="10">
        <v>0</v>
      </c>
      <c r="AM9" s="10">
        <v>30000</v>
      </c>
      <c r="AN9" s="10">
        <v>0</v>
      </c>
      <c r="AO9" s="10">
        <v>30000</v>
      </c>
      <c r="AP9" s="10">
        <v>0</v>
      </c>
      <c r="CC9" s="10">
        <f t="shared" si="0"/>
        <v>3060000</v>
      </c>
    </row>
    <row r="10" spans="1:81" ht="12.75" customHeight="1" x14ac:dyDescent="0.2">
      <c r="A10" s="10" t="s">
        <v>27</v>
      </c>
      <c r="B10" s="10">
        <v>3280000</v>
      </c>
      <c r="C10" s="10">
        <v>80000</v>
      </c>
      <c r="D10" s="10">
        <v>4</v>
      </c>
      <c r="F10" s="10">
        <v>5</v>
      </c>
      <c r="G10" s="10">
        <v>3122000</v>
      </c>
      <c r="I10" s="9" t="s">
        <v>121</v>
      </c>
      <c r="J10" s="10">
        <f t="shared" ref="J10:CB10" si="1">SUM(J3:J9)</f>
        <v>217400</v>
      </c>
      <c r="K10" s="10">
        <f t="shared" si="1"/>
        <v>322800</v>
      </c>
      <c r="L10" s="10">
        <f t="shared" si="1"/>
        <v>469866.66666666669</v>
      </c>
      <c r="M10" s="10">
        <f t="shared" si="1"/>
        <v>560266.66666666674</v>
      </c>
      <c r="N10" s="10">
        <f t="shared" si="1"/>
        <v>678466.66666666663</v>
      </c>
      <c r="O10" s="10">
        <f t="shared" si="1"/>
        <v>762666.66666666663</v>
      </c>
      <c r="P10" s="10">
        <f t="shared" si="1"/>
        <v>922666.66666666663</v>
      </c>
      <c r="Q10" s="10">
        <f t="shared" si="1"/>
        <v>987628.57142857148</v>
      </c>
      <c r="R10" s="10">
        <f t="shared" si="1"/>
        <v>1045723.8095238095</v>
      </c>
      <c r="S10" s="10">
        <f t="shared" si="1"/>
        <v>1146923.8095238095</v>
      </c>
      <c r="T10" s="10">
        <f t="shared" si="1"/>
        <v>1404523.8095238095</v>
      </c>
      <c r="U10" s="10">
        <f t="shared" si="1"/>
        <v>1360723.8095238095</v>
      </c>
      <c r="V10" s="10">
        <f t="shared" si="1"/>
        <v>1465323.8095238095</v>
      </c>
      <c r="W10" s="10">
        <f t="shared" si="1"/>
        <v>1471986.9674185463</v>
      </c>
      <c r="X10" s="10">
        <f t="shared" si="1"/>
        <v>1679686.9674185463</v>
      </c>
      <c r="Y10" s="10">
        <f t="shared" si="1"/>
        <v>1617886.9674185463</v>
      </c>
      <c r="Z10" s="10">
        <f t="shared" si="1"/>
        <v>1727886.9674185463</v>
      </c>
      <c r="AA10" s="10">
        <f t="shared" si="1"/>
        <v>1661886.9674185463</v>
      </c>
      <c r="AB10" s="10">
        <f t="shared" si="1"/>
        <v>1740886.9674185463</v>
      </c>
      <c r="AC10" s="10">
        <f t="shared" si="1"/>
        <v>1635886.9674185463</v>
      </c>
      <c r="AD10" s="10">
        <f t="shared" si="1"/>
        <v>1644886.9674185463</v>
      </c>
      <c r="AE10" s="10">
        <f t="shared" si="1"/>
        <v>1583886.9674185463</v>
      </c>
      <c r="AF10" s="10">
        <f t="shared" si="1"/>
        <v>1556386.9674185463</v>
      </c>
      <c r="AG10" s="10">
        <f t="shared" si="1"/>
        <v>1545386.9674185463</v>
      </c>
      <c r="AH10" s="10">
        <f t="shared" si="1"/>
        <v>1524386.9674185463</v>
      </c>
      <c r="AI10" s="10">
        <f t="shared" si="1"/>
        <v>1508386.9674185463</v>
      </c>
      <c r="AJ10" s="10">
        <f t="shared" si="1"/>
        <v>1437386.9674185463</v>
      </c>
      <c r="AK10" s="10">
        <f t="shared" si="1"/>
        <v>1406386.9674185463</v>
      </c>
      <c r="AL10" s="10">
        <f t="shared" si="1"/>
        <v>1340625.0626566417</v>
      </c>
      <c r="AM10" s="10">
        <f t="shared" si="1"/>
        <v>1374863.1578947369</v>
      </c>
      <c r="AN10" s="10">
        <f t="shared" si="1"/>
        <v>1328863.1578947369</v>
      </c>
      <c r="AO10" s="10">
        <f t="shared" si="1"/>
        <v>1367863.1578947369</v>
      </c>
      <c r="AP10" s="10">
        <f t="shared" si="1"/>
        <v>1291600</v>
      </c>
      <c r="AQ10" s="10">
        <f t="shared" si="1"/>
        <v>1270600</v>
      </c>
      <c r="AR10" s="10">
        <f t="shared" si="1"/>
        <v>1279600</v>
      </c>
      <c r="AS10" s="10">
        <f t="shared" si="1"/>
        <v>1263600</v>
      </c>
      <c r="AT10" s="10">
        <f t="shared" si="1"/>
        <v>1272600</v>
      </c>
      <c r="AU10" s="10">
        <f t="shared" si="1"/>
        <v>1105600</v>
      </c>
      <c r="AV10" s="10">
        <f t="shared" si="1"/>
        <v>1113600</v>
      </c>
      <c r="AW10" s="10">
        <f t="shared" si="1"/>
        <v>1096600</v>
      </c>
      <c r="AX10" s="10">
        <f t="shared" si="1"/>
        <v>1104600</v>
      </c>
      <c r="AY10" s="10">
        <f t="shared" si="1"/>
        <v>1080400</v>
      </c>
      <c r="AZ10" s="10">
        <f t="shared" si="1"/>
        <v>1088400</v>
      </c>
      <c r="BA10" s="10">
        <f t="shared" si="1"/>
        <v>956000</v>
      </c>
      <c r="BB10" s="10">
        <f t="shared" si="1"/>
        <v>955800</v>
      </c>
      <c r="BC10" s="10">
        <f t="shared" si="1"/>
        <v>847400</v>
      </c>
      <c r="BD10" s="10">
        <f t="shared" si="1"/>
        <v>702400</v>
      </c>
      <c r="BE10" s="10">
        <f t="shared" si="1"/>
        <v>707400</v>
      </c>
      <c r="BF10" s="10">
        <f t="shared" si="1"/>
        <v>572000</v>
      </c>
      <c r="BG10" s="10">
        <f t="shared" si="1"/>
        <v>551000</v>
      </c>
      <c r="BH10" s="10">
        <f t="shared" si="1"/>
        <v>446800</v>
      </c>
      <c r="BI10" s="10">
        <f t="shared" si="1"/>
        <v>247800</v>
      </c>
      <c r="BJ10" s="10">
        <f t="shared" si="1"/>
        <v>248800</v>
      </c>
      <c r="BK10" s="10">
        <f t="shared" si="1"/>
        <v>217600</v>
      </c>
      <c r="BL10" s="10">
        <f t="shared" si="1"/>
        <v>179200</v>
      </c>
      <c r="BM10" s="10">
        <f t="shared" si="1"/>
        <v>79200</v>
      </c>
      <c r="BN10" s="10">
        <f t="shared" si="1"/>
        <v>72000</v>
      </c>
      <c r="BO10" s="10">
        <f t="shared" si="1"/>
        <v>72000</v>
      </c>
      <c r="BP10" s="10">
        <f t="shared" si="1"/>
        <v>64800</v>
      </c>
      <c r="BQ10" s="10">
        <f t="shared" si="1"/>
        <v>64800</v>
      </c>
      <c r="BR10" s="10">
        <f t="shared" si="1"/>
        <v>50400</v>
      </c>
      <c r="BS10" s="10">
        <f t="shared" si="1"/>
        <v>50400</v>
      </c>
      <c r="BT10" s="10">
        <f t="shared" si="1"/>
        <v>43200</v>
      </c>
      <c r="BU10" s="10">
        <f t="shared" si="1"/>
        <v>36000</v>
      </c>
      <c r="BV10" s="10">
        <f t="shared" si="1"/>
        <v>36000</v>
      </c>
      <c r="BW10" s="10">
        <f t="shared" si="1"/>
        <v>36000</v>
      </c>
      <c r="BX10" s="10">
        <f t="shared" si="1"/>
        <v>21600</v>
      </c>
      <c r="BY10" s="10">
        <f t="shared" si="1"/>
        <v>21600</v>
      </c>
      <c r="BZ10" s="10">
        <f t="shared" si="1"/>
        <v>21600</v>
      </c>
      <c r="CA10" s="10">
        <f t="shared" si="1"/>
        <v>21600</v>
      </c>
      <c r="CB10" s="10">
        <f t="shared" si="1"/>
        <v>7200</v>
      </c>
    </row>
    <row r="11" spans="1:81" ht="12.75" customHeight="1" x14ac:dyDescent="0.2">
      <c r="A11" s="10" t="s">
        <v>28</v>
      </c>
      <c r="B11" s="10">
        <v>465000</v>
      </c>
      <c r="C11" s="10">
        <v>22142.857142857141</v>
      </c>
      <c r="D11" s="10">
        <v>5</v>
      </c>
      <c r="F11" s="10">
        <v>6</v>
      </c>
      <c r="G11">
        <v>500000</v>
      </c>
    </row>
    <row r="12" spans="1:81" ht="12.75" customHeight="1" x14ac:dyDescent="0.2">
      <c r="A12" s="10" t="s">
        <v>29</v>
      </c>
      <c r="B12" s="10">
        <v>240000</v>
      </c>
      <c r="C12" s="10">
        <v>15000</v>
      </c>
      <c r="D12" s="10">
        <v>7</v>
      </c>
      <c r="F12" s="10">
        <v>7</v>
      </c>
      <c r="G12">
        <v>3060000</v>
      </c>
    </row>
    <row r="13" spans="1:81" ht="12.75" customHeight="1" x14ac:dyDescent="0.2">
      <c r="A13" s="10" t="s">
        <v>30</v>
      </c>
      <c r="B13" s="10">
        <v>90000</v>
      </c>
      <c r="C13" s="10">
        <v>15000</v>
      </c>
      <c r="D13" s="10">
        <v>1</v>
      </c>
    </row>
    <row r="14" spans="1:81" ht="12.75" customHeight="1" x14ac:dyDescent="0.2">
      <c r="A14" s="10" t="s">
        <v>31</v>
      </c>
      <c r="B14" s="10">
        <v>90000</v>
      </c>
      <c r="C14" s="10">
        <v>15000</v>
      </c>
      <c r="D14" s="10">
        <v>1</v>
      </c>
    </row>
    <row r="15" spans="1:81" ht="12.75" customHeight="1" x14ac:dyDescent="0.2">
      <c r="A15" s="10" t="s">
        <v>32</v>
      </c>
      <c r="B15" s="10">
        <v>300000</v>
      </c>
      <c r="C15" s="10">
        <v>15000</v>
      </c>
      <c r="D15" s="10">
        <v>1</v>
      </c>
    </row>
    <row r="16" spans="1:81" ht="12.75" customHeight="1" x14ac:dyDescent="0.2">
      <c r="A16" s="10" t="s">
        <v>33</v>
      </c>
      <c r="B16" s="10">
        <v>100000</v>
      </c>
      <c r="C16" s="10">
        <v>12500</v>
      </c>
      <c r="D16" s="10">
        <v>6</v>
      </c>
    </row>
    <row r="17" spans="1:4" ht="12.75" customHeight="1" x14ac:dyDescent="0.2">
      <c r="A17" s="10" t="s">
        <v>34</v>
      </c>
      <c r="B17" s="10">
        <v>180000</v>
      </c>
      <c r="C17" s="10">
        <v>16363.636363636364</v>
      </c>
      <c r="D17" s="10">
        <v>7</v>
      </c>
    </row>
    <row r="18" spans="1:4" ht="12.75" customHeight="1" x14ac:dyDescent="0.2">
      <c r="A18" s="10" t="s">
        <v>35</v>
      </c>
      <c r="B18" s="10">
        <v>465000</v>
      </c>
      <c r="C18" s="10">
        <v>22142.857142857141</v>
      </c>
      <c r="D18" s="10">
        <v>5</v>
      </c>
    </row>
    <row r="19" spans="1:4" ht="12.75" customHeight="1" x14ac:dyDescent="0.2">
      <c r="A19" s="10" t="s">
        <v>36</v>
      </c>
      <c r="B19" s="10">
        <v>750000</v>
      </c>
      <c r="C19" s="10">
        <v>25000</v>
      </c>
      <c r="D19" s="10">
        <v>2</v>
      </c>
    </row>
    <row r="20" spans="1:4" ht="12.75" customHeight="1" x14ac:dyDescent="0.2">
      <c r="A20" s="10" t="s">
        <v>37</v>
      </c>
      <c r="B20" s="10">
        <v>750000</v>
      </c>
      <c r="C20" s="10">
        <v>25000</v>
      </c>
      <c r="D20" s="10">
        <v>2</v>
      </c>
    </row>
    <row r="21" spans="1:4" ht="12.75" customHeight="1" x14ac:dyDescent="0.2">
      <c r="A21" s="10" t="s">
        <v>38</v>
      </c>
      <c r="B21" s="10">
        <v>504000</v>
      </c>
      <c r="C21" s="10">
        <v>7200</v>
      </c>
      <c r="D21" s="10">
        <v>3</v>
      </c>
    </row>
    <row r="22" spans="1:4" ht="12.75" customHeight="1" x14ac:dyDescent="0.2">
      <c r="A22" s="10" t="s">
        <v>39</v>
      </c>
      <c r="B22" s="10">
        <v>100000.00000000001</v>
      </c>
      <c r="C22" s="10">
        <v>4761.9047619047624</v>
      </c>
      <c r="D22" s="10">
        <v>6</v>
      </c>
    </row>
    <row r="23" spans="1:4" ht="12.75" customHeight="1" x14ac:dyDescent="0.2">
      <c r="A23" s="10" t="s">
        <v>40</v>
      </c>
      <c r="B23" s="10">
        <v>3280000</v>
      </c>
      <c r="C23" s="10">
        <v>80000</v>
      </c>
      <c r="D23" s="10">
        <v>4</v>
      </c>
    </row>
    <row r="24" spans="1:4" ht="12.75" customHeight="1" x14ac:dyDescent="0.2">
      <c r="A24" s="10" t="s">
        <v>41</v>
      </c>
      <c r="B24" s="10">
        <v>105000</v>
      </c>
      <c r="C24" s="10">
        <v>15000</v>
      </c>
      <c r="D24" s="10">
        <v>1</v>
      </c>
    </row>
    <row r="25" spans="1:4" ht="12.75" customHeight="1" x14ac:dyDescent="0.2">
      <c r="A25" s="10" t="s">
        <v>42</v>
      </c>
      <c r="B25" s="10">
        <v>402000</v>
      </c>
      <c r="C25" s="10">
        <v>22333.333333333332</v>
      </c>
      <c r="D25" s="10">
        <v>5</v>
      </c>
    </row>
    <row r="26" spans="1:4" ht="12.75" customHeight="1" x14ac:dyDescent="0.2">
      <c r="A26" s="10" t="s">
        <v>43</v>
      </c>
      <c r="B26" s="10">
        <v>90000</v>
      </c>
      <c r="C26" s="10">
        <v>15000</v>
      </c>
      <c r="D26" s="10">
        <v>7</v>
      </c>
    </row>
    <row r="27" spans="1:4" ht="12.75" customHeight="1" x14ac:dyDescent="0.2">
      <c r="A27" s="10" t="s">
        <v>44</v>
      </c>
      <c r="B27" s="10">
        <v>465000</v>
      </c>
      <c r="C27" s="10">
        <v>22142.857142857141</v>
      </c>
      <c r="D27" s="10">
        <v>5</v>
      </c>
    </row>
    <row r="28" spans="1:4" ht="12.75" customHeight="1" x14ac:dyDescent="0.2">
      <c r="A28" s="10" t="s">
        <v>45</v>
      </c>
      <c r="B28" s="10">
        <v>195000</v>
      </c>
      <c r="C28" s="10">
        <v>15000</v>
      </c>
      <c r="D28" s="10">
        <v>1</v>
      </c>
    </row>
    <row r="29" spans="1:4" ht="12.75" customHeight="1" x14ac:dyDescent="0.2">
      <c r="A29" s="10" t="s">
        <v>46</v>
      </c>
      <c r="B29" s="10">
        <v>288000</v>
      </c>
      <c r="C29" s="10">
        <v>7200</v>
      </c>
      <c r="D29" s="10">
        <v>3</v>
      </c>
    </row>
    <row r="30" spans="1:4" ht="12.75" customHeight="1" x14ac:dyDescent="0.2">
      <c r="A30" s="10" t="s">
        <v>47</v>
      </c>
      <c r="B30" s="10">
        <v>270000</v>
      </c>
      <c r="C30" s="10">
        <v>15882.35294117647</v>
      </c>
      <c r="D30" s="10">
        <v>7</v>
      </c>
    </row>
    <row r="31" spans="1:4" ht="12.75" customHeight="1" x14ac:dyDescent="0.2">
      <c r="A31" s="10" t="s">
        <v>48</v>
      </c>
      <c r="B31" s="10">
        <v>135000</v>
      </c>
      <c r="C31" s="10">
        <v>15000</v>
      </c>
      <c r="D31" s="10">
        <v>1</v>
      </c>
    </row>
    <row r="32" spans="1:4" ht="12.75" customHeight="1" x14ac:dyDescent="0.2">
      <c r="A32" s="10" t="s">
        <v>49</v>
      </c>
      <c r="B32" s="10">
        <v>300000</v>
      </c>
      <c r="C32" s="10">
        <v>15000</v>
      </c>
      <c r="D32" s="10">
        <v>1</v>
      </c>
    </row>
    <row r="33" spans="1:4" ht="12.75" customHeight="1" x14ac:dyDescent="0.2">
      <c r="A33" s="10" t="s">
        <v>50</v>
      </c>
      <c r="B33" s="10">
        <v>105000</v>
      </c>
      <c r="C33" s="10">
        <v>15000</v>
      </c>
      <c r="D33" s="10">
        <v>1</v>
      </c>
    </row>
    <row r="34" spans="1:4" ht="12.75" customHeight="1" x14ac:dyDescent="0.2">
      <c r="A34" s="10" t="s">
        <v>51</v>
      </c>
      <c r="B34" s="10">
        <v>300000</v>
      </c>
      <c r="C34" s="10">
        <v>15000</v>
      </c>
      <c r="D34" s="10">
        <v>1</v>
      </c>
    </row>
    <row r="35" spans="1:4" ht="12.75" customHeight="1" x14ac:dyDescent="0.2">
      <c r="A35" s="10" t="s">
        <v>52</v>
      </c>
      <c r="B35" s="10">
        <v>138000</v>
      </c>
      <c r="C35" s="10">
        <v>23000</v>
      </c>
      <c r="D35" s="10">
        <v>5</v>
      </c>
    </row>
    <row r="36" spans="1:4" ht="12.75" customHeight="1" x14ac:dyDescent="0.2">
      <c r="A36" s="10" t="s">
        <v>53</v>
      </c>
      <c r="B36" s="10">
        <v>315000</v>
      </c>
      <c r="C36" s="10">
        <v>15000</v>
      </c>
      <c r="D36" s="10">
        <v>1</v>
      </c>
    </row>
    <row r="37" spans="1:4" ht="12.75" customHeight="1" x14ac:dyDescent="0.2">
      <c r="A37" s="10" t="s">
        <v>54</v>
      </c>
      <c r="B37" s="10">
        <v>270000</v>
      </c>
      <c r="C37" s="10">
        <v>15000</v>
      </c>
      <c r="D37" s="10">
        <v>1</v>
      </c>
    </row>
    <row r="38" spans="1:4" ht="12.75" customHeight="1" x14ac:dyDescent="0.2">
      <c r="A38" s="10" t="s">
        <v>55</v>
      </c>
      <c r="B38" s="10">
        <v>750000</v>
      </c>
      <c r="C38" s="10">
        <v>25000</v>
      </c>
      <c r="D38" s="10">
        <v>2</v>
      </c>
    </row>
    <row r="39" spans="1:4" ht="12.75" customHeight="1" x14ac:dyDescent="0.2">
      <c r="A39" s="10" t="s">
        <v>56</v>
      </c>
      <c r="B39" s="10">
        <v>750000</v>
      </c>
      <c r="C39" s="10">
        <v>25000</v>
      </c>
      <c r="D39" s="10">
        <v>2</v>
      </c>
    </row>
    <row r="40" spans="1:4" ht="12.75" customHeight="1" x14ac:dyDescent="0.2">
      <c r="A40" s="10" t="s">
        <v>57</v>
      </c>
      <c r="B40" s="10">
        <v>280800</v>
      </c>
      <c r="C40" s="10">
        <v>7200</v>
      </c>
      <c r="D40" s="10">
        <v>3</v>
      </c>
    </row>
    <row r="41" spans="1:4" ht="12.75" customHeight="1" x14ac:dyDescent="0.2">
      <c r="A41" s="10" t="s">
        <v>58</v>
      </c>
      <c r="B41" s="10">
        <v>105000</v>
      </c>
      <c r="C41" s="10">
        <v>15000</v>
      </c>
      <c r="D41" s="10">
        <v>1</v>
      </c>
    </row>
    <row r="42" spans="1:4" ht="12.75" customHeight="1" x14ac:dyDescent="0.2">
      <c r="A42" s="10" t="s">
        <v>59</v>
      </c>
      <c r="B42" s="10">
        <v>750000</v>
      </c>
      <c r="C42" s="10">
        <v>25000</v>
      </c>
      <c r="D42" s="10">
        <v>2</v>
      </c>
    </row>
    <row r="43" spans="1:4" ht="12.75" customHeight="1" x14ac:dyDescent="0.2">
      <c r="A43" s="10" t="s">
        <v>60</v>
      </c>
      <c r="B43" s="10">
        <v>750000</v>
      </c>
      <c r="C43" s="10">
        <v>25000</v>
      </c>
      <c r="D43" s="10">
        <v>2</v>
      </c>
    </row>
    <row r="44" spans="1:4" ht="12.75" customHeight="1" x14ac:dyDescent="0.2">
      <c r="A44" s="10" t="s">
        <v>61</v>
      </c>
      <c r="B44" s="10">
        <v>120000</v>
      </c>
      <c r="C44" s="10">
        <v>17142.857142857141</v>
      </c>
      <c r="D44" s="10">
        <v>7</v>
      </c>
    </row>
    <row r="45" spans="1:4" ht="12.75" customHeight="1" x14ac:dyDescent="0.2">
      <c r="A45" s="10" t="s">
        <v>62</v>
      </c>
      <c r="B45" s="10">
        <v>100000.00000000001</v>
      </c>
      <c r="C45" s="10">
        <v>4761.9047619047624</v>
      </c>
      <c r="D45" s="10">
        <v>6</v>
      </c>
    </row>
    <row r="46" spans="1:4" ht="12.75" customHeight="1" x14ac:dyDescent="0.2">
      <c r="A46" s="10" t="s">
        <v>63</v>
      </c>
      <c r="B46" s="10">
        <v>3280000</v>
      </c>
      <c r="C46" s="10">
        <v>80000</v>
      </c>
      <c r="D46" s="10">
        <v>4</v>
      </c>
    </row>
    <row r="47" spans="1:4" ht="12.75" customHeight="1" x14ac:dyDescent="0.2">
      <c r="A47" s="10" t="s">
        <v>64</v>
      </c>
      <c r="B47" s="10">
        <v>180000</v>
      </c>
      <c r="C47" s="10">
        <v>15000</v>
      </c>
      <c r="D47" s="10">
        <v>7</v>
      </c>
    </row>
    <row r="48" spans="1:4" ht="12.75" customHeight="1" x14ac:dyDescent="0.2">
      <c r="A48" s="10" t="s">
        <v>65</v>
      </c>
      <c r="B48" s="10">
        <v>100000.00000000001</v>
      </c>
      <c r="C48" s="10">
        <v>16666.666666666668</v>
      </c>
      <c r="D48" s="10">
        <v>6</v>
      </c>
    </row>
    <row r="49" spans="1:4" ht="12.75" customHeight="1" x14ac:dyDescent="0.2">
      <c r="A49" s="10" t="s">
        <v>66</v>
      </c>
      <c r="B49" s="10">
        <v>750000</v>
      </c>
      <c r="C49" s="10">
        <v>25000</v>
      </c>
      <c r="D49" s="10">
        <v>2</v>
      </c>
    </row>
    <row r="50" spans="1:4" ht="12.75" customHeight="1" x14ac:dyDescent="0.2">
      <c r="A50" s="10" t="s">
        <v>67</v>
      </c>
      <c r="B50" s="10">
        <v>99999.999999999985</v>
      </c>
      <c r="C50" s="10">
        <v>5263.1578947368416</v>
      </c>
      <c r="D50" s="10">
        <v>6</v>
      </c>
    </row>
    <row r="51" spans="1:4" ht="12.75" customHeight="1" x14ac:dyDescent="0.2">
      <c r="A51" s="10" t="s">
        <v>68</v>
      </c>
      <c r="B51" s="10">
        <v>270000</v>
      </c>
      <c r="C51" s="10">
        <v>15882.35294117647</v>
      </c>
      <c r="D51" s="10">
        <v>7</v>
      </c>
    </row>
    <row r="52" spans="1:4" ht="12.75" customHeight="1" x14ac:dyDescent="0.2">
      <c r="A52" s="10" t="s">
        <v>69</v>
      </c>
      <c r="B52" s="10">
        <v>421000</v>
      </c>
      <c r="C52" s="10">
        <v>22157.894736842107</v>
      </c>
      <c r="D52" s="10">
        <v>5</v>
      </c>
    </row>
    <row r="53" spans="1:4" ht="12.75" customHeight="1" x14ac:dyDescent="0.2">
      <c r="A53" s="10" t="s">
        <v>70</v>
      </c>
      <c r="B53" s="10">
        <v>237600</v>
      </c>
      <c r="C53" s="10">
        <v>7200</v>
      </c>
      <c r="D53" s="10">
        <v>3</v>
      </c>
    </row>
    <row r="54" spans="1:4" ht="12.75" customHeight="1" x14ac:dyDescent="0.2">
      <c r="A54" s="10" t="s">
        <v>71</v>
      </c>
      <c r="B54" s="10">
        <v>439200</v>
      </c>
      <c r="C54" s="10">
        <v>7200</v>
      </c>
      <c r="D54" s="10">
        <v>3</v>
      </c>
    </row>
    <row r="55" spans="1:4" ht="12.75" customHeight="1" x14ac:dyDescent="0.2">
      <c r="A55" s="10" t="s">
        <v>72</v>
      </c>
      <c r="B55" s="10">
        <v>195000</v>
      </c>
      <c r="C55" s="10">
        <v>15000</v>
      </c>
      <c r="D55" s="10">
        <v>1</v>
      </c>
    </row>
    <row r="56" spans="1:4" ht="12.75" customHeight="1" x14ac:dyDescent="0.2">
      <c r="A56" s="10" t="s">
        <v>73</v>
      </c>
      <c r="B56" s="10">
        <v>3280000</v>
      </c>
      <c r="C56" s="10">
        <v>80000</v>
      </c>
      <c r="D56" s="10">
        <v>4</v>
      </c>
    </row>
    <row r="57" spans="1:4" ht="12.75" customHeight="1" x14ac:dyDescent="0.2">
      <c r="A57" s="10" t="s">
        <v>74</v>
      </c>
      <c r="B57" s="10">
        <v>750000</v>
      </c>
      <c r="C57" s="10">
        <v>25000</v>
      </c>
      <c r="D57" s="10">
        <v>2</v>
      </c>
    </row>
    <row r="58" spans="1:4" ht="12.75" customHeight="1" x14ac:dyDescent="0.2">
      <c r="A58" s="10" t="s">
        <v>75</v>
      </c>
      <c r="B58" s="10">
        <v>237600</v>
      </c>
      <c r="C58" s="10">
        <v>7200</v>
      </c>
      <c r="D58" s="10">
        <v>3</v>
      </c>
    </row>
    <row r="59" spans="1:4" ht="12.75" customHeight="1" x14ac:dyDescent="0.2">
      <c r="A59" s="10" t="s">
        <v>76</v>
      </c>
      <c r="B59" s="10">
        <v>338400</v>
      </c>
      <c r="C59" s="10">
        <v>7200</v>
      </c>
      <c r="D59" s="10">
        <v>3</v>
      </c>
    </row>
    <row r="60" spans="1:4" ht="12.75" customHeight="1" x14ac:dyDescent="0.2">
      <c r="A60" s="10" t="s">
        <v>77</v>
      </c>
      <c r="B60" s="10">
        <v>3280000</v>
      </c>
      <c r="C60" s="10">
        <v>80000</v>
      </c>
      <c r="D60" s="10">
        <v>4</v>
      </c>
    </row>
    <row r="61" spans="1:4" ht="12.75" customHeight="1" x14ac:dyDescent="0.2">
      <c r="A61" s="10" t="s">
        <v>78</v>
      </c>
      <c r="B61" s="10">
        <v>195000</v>
      </c>
      <c r="C61" s="10">
        <v>15000</v>
      </c>
      <c r="D61" s="10">
        <v>1</v>
      </c>
    </row>
    <row r="62" spans="1:4" ht="12.75" customHeight="1" x14ac:dyDescent="0.2">
      <c r="A62" s="10" t="s">
        <v>79</v>
      </c>
      <c r="B62" s="10">
        <v>270000</v>
      </c>
      <c r="C62" s="10">
        <v>15000</v>
      </c>
      <c r="D62" s="10">
        <v>1</v>
      </c>
    </row>
    <row r="63" spans="1:4" ht="12.75" customHeight="1" x14ac:dyDescent="0.2">
      <c r="A63" s="10" t="s">
        <v>80</v>
      </c>
      <c r="B63" s="10">
        <v>270000</v>
      </c>
      <c r="C63" s="10">
        <v>15000</v>
      </c>
      <c r="D63" s="10">
        <v>7</v>
      </c>
    </row>
    <row r="64" spans="1:4" ht="12.75" customHeight="1" x14ac:dyDescent="0.2">
      <c r="A64" s="10" t="s">
        <v>81</v>
      </c>
      <c r="B64" s="10">
        <v>3280000</v>
      </c>
      <c r="C64" s="10">
        <v>80000</v>
      </c>
      <c r="D64" s="10">
        <v>4</v>
      </c>
    </row>
    <row r="65" spans="1:4" ht="12.75" customHeight="1" x14ac:dyDescent="0.2">
      <c r="A65" s="10" t="s">
        <v>82</v>
      </c>
      <c r="B65" s="10">
        <v>750000</v>
      </c>
      <c r="C65" s="10">
        <v>25000</v>
      </c>
      <c r="D65" s="10">
        <v>2</v>
      </c>
    </row>
    <row r="66" spans="1:4" ht="12.75" customHeight="1" x14ac:dyDescent="0.2">
      <c r="A66" s="10" t="s">
        <v>83</v>
      </c>
      <c r="B66" s="10">
        <v>315000</v>
      </c>
      <c r="C66" s="10">
        <v>15000</v>
      </c>
      <c r="D66" s="10">
        <v>1</v>
      </c>
    </row>
    <row r="67" spans="1:4" ht="12.75" customHeight="1" x14ac:dyDescent="0.2">
      <c r="A67" s="10" t="s">
        <v>84</v>
      </c>
      <c r="B67" s="10">
        <v>150000</v>
      </c>
      <c r="C67" s="10">
        <v>16666.666666666668</v>
      </c>
      <c r="D67" s="10">
        <v>7</v>
      </c>
    </row>
    <row r="68" spans="1:4" ht="12.75" customHeight="1" x14ac:dyDescent="0.2">
      <c r="A68" s="10" t="s">
        <v>85</v>
      </c>
      <c r="B68" s="10">
        <v>750000</v>
      </c>
      <c r="C68" s="10">
        <v>25000</v>
      </c>
      <c r="D68" s="10">
        <v>2</v>
      </c>
    </row>
    <row r="69" spans="1:4" ht="12.75" customHeight="1" x14ac:dyDescent="0.2">
      <c r="A69" s="10" t="s">
        <v>86</v>
      </c>
      <c r="B69" s="10">
        <v>750000</v>
      </c>
      <c r="C69" s="10">
        <v>25000</v>
      </c>
      <c r="D69" s="10">
        <v>2</v>
      </c>
    </row>
    <row r="70" spans="1:4" ht="12.75" customHeight="1" x14ac:dyDescent="0.2">
      <c r="A70" s="10" t="s">
        <v>87</v>
      </c>
      <c r="B70" s="10">
        <v>381600</v>
      </c>
      <c r="C70" s="10">
        <v>7200</v>
      </c>
      <c r="D70" s="10">
        <v>3</v>
      </c>
    </row>
    <row r="71" spans="1:4" ht="12.75" customHeight="1" x14ac:dyDescent="0.2">
      <c r="A71" s="10" t="s">
        <v>88</v>
      </c>
      <c r="B71" s="10">
        <v>240000</v>
      </c>
      <c r="C71" s="10">
        <v>15000</v>
      </c>
      <c r="D71" s="10">
        <v>7</v>
      </c>
    </row>
    <row r="72" spans="1:4" ht="12.75" customHeight="1" x14ac:dyDescent="0.2">
      <c r="A72" s="10" t="s">
        <v>89</v>
      </c>
      <c r="B72" s="10">
        <v>150000</v>
      </c>
      <c r="C72" s="10">
        <v>15000</v>
      </c>
      <c r="D72" s="10">
        <v>7</v>
      </c>
    </row>
    <row r="73" spans="1:4" ht="12.75" customHeight="1" x14ac:dyDescent="0.2">
      <c r="A73" s="10" t="s">
        <v>90</v>
      </c>
      <c r="B73" s="10">
        <v>225000</v>
      </c>
      <c r="C73" s="10">
        <v>15000</v>
      </c>
      <c r="D73" s="10">
        <v>1</v>
      </c>
    </row>
    <row r="74" spans="1:4" ht="12.75" customHeight="1" x14ac:dyDescent="0.2">
      <c r="A74" s="10" t="s">
        <v>91</v>
      </c>
      <c r="B74" s="10">
        <v>3280000</v>
      </c>
      <c r="C74" s="10">
        <v>80000</v>
      </c>
      <c r="D74" s="10">
        <v>4</v>
      </c>
    </row>
    <row r="75" spans="1:4" ht="12.75" customHeight="1" x14ac:dyDescent="0.2">
      <c r="A75" s="10" t="s">
        <v>92</v>
      </c>
      <c r="B75" s="10">
        <v>138000</v>
      </c>
      <c r="C75" s="10">
        <v>23000</v>
      </c>
      <c r="D75" s="10">
        <v>5</v>
      </c>
    </row>
    <row r="76" spans="1:4" ht="12.75" customHeight="1" x14ac:dyDescent="0.2">
      <c r="A76" s="10" t="s">
        <v>93</v>
      </c>
      <c r="B76" s="10">
        <v>338400</v>
      </c>
      <c r="C76" s="10">
        <v>7200</v>
      </c>
      <c r="D76" s="10">
        <v>3</v>
      </c>
    </row>
    <row r="77" spans="1:4" ht="12.75" customHeight="1" x14ac:dyDescent="0.2">
      <c r="A77" s="10" t="s">
        <v>94</v>
      </c>
      <c r="B77" s="10">
        <v>453600</v>
      </c>
      <c r="C77" s="10">
        <v>7200</v>
      </c>
      <c r="D77" s="10">
        <v>3</v>
      </c>
    </row>
    <row r="78" spans="1:4" ht="12.75" customHeight="1" x14ac:dyDescent="0.2">
      <c r="A78" s="10" t="s">
        <v>95</v>
      </c>
      <c r="B78" s="10">
        <v>180000</v>
      </c>
      <c r="C78" s="10">
        <v>15000</v>
      </c>
      <c r="D78" s="10">
        <v>1</v>
      </c>
    </row>
    <row r="79" spans="1:4" ht="12.75" customHeight="1" x14ac:dyDescent="0.2">
      <c r="A79" s="10" t="s">
        <v>96</v>
      </c>
      <c r="B79" s="10">
        <v>352800</v>
      </c>
      <c r="C79" s="10">
        <v>7200</v>
      </c>
      <c r="D79" s="10">
        <v>3</v>
      </c>
    </row>
    <row r="80" spans="1:4" ht="12.75" customHeight="1" x14ac:dyDescent="0.2">
      <c r="A80" s="10" t="s">
        <v>97</v>
      </c>
      <c r="B80" s="10">
        <v>750000</v>
      </c>
      <c r="C80" s="10">
        <v>25000</v>
      </c>
      <c r="D80" s="10">
        <v>2</v>
      </c>
    </row>
    <row r="81" spans="1:4" ht="12.75" customHeight="1" x14ac:dyDescent="0.2">
      <c r="A81" s="10" t="s">
        <v>98</v>
      </c>
      <c r="B81" s="10">
        <v>324000</v>
      </c>
      <c r="C81" s="10">
        <v>7200</v>
      </c>
      <c r="D81" s="10">
        <v>3</v>
      </c>
    </row>
    <row r="82" spans="1:4" ht="12.75" customHeight="1" x14ac:dyDescent="0.2">
      <c r="A82" s="10" t="s">
        <v>99</v>
      </c>
      <c r="B82" s="10">
        <v>270000</v>
      </c>
      <c r="C82" s="10">
        <v>15000</v>
      </c>
      <c r="D82" s="10">
        <v>7</v>
      </c>
    </row>
    <row r="83" spans="1:4" ht="12.75" customHeight="1" x14ac:dyDescent="0.2">
      <c r="A83" s="10" t="s">
        <v>100</v>
      </c>
      <c r="B83" s="10">
        <v>295200</v>
      </c>
      <c r="C83" s="10">
        <v>7200</v>
      </c>
      <c r="D83" s="10">
        <v>3</v>
      </c>
    </row>
    <row r="84" spans="1:4" ht="12.75" customHeight="1" x14ac:dyDescent="0.2">
      <c r="A84" s="10" t="s">
        <v>101</v>
      </c>
      <c r="B84" s="10">
        <v>182000</v>
      </c>
      <c r="C84" s="10">
        <v>22750</v>
      </c>
      <c r="D84" s="10">
        <v>5</v>
      </c>
    </row>
    <row r="85" spans="1:4" ht="12.75" customHeight="1" x14ac:dyDescent="0.2">
      <c r="A85" s="10" t="s">
        <v>102</v>
      </c>
      <c r="B85" s="10">
        <v>750000</v>
      </c>
      <c r="C85" s="10">
        <v>25000</v>
      </c>
      <c r="D85" s="10">
        <v>2</v>
      </c>
    </row>
    <row r="86" spans="1:4" ht="12.75" customHeight="1" x14ac:dyDescent="0.2">
      <c r="A86" s="10" t="s">
        <v>103</v>
      </c>
      <c r="B86" s="10">
        <v>165000</v>
      </c>
      <c r="C86" s="10">
        <v>15000</v>
      </c>
      <c r="D86" s="10">
        <v>1</v>
      </c>
    </row>
    <row r="87" spans="1:4" ht="12.75" customHeight="1" x14ac:dyDescent="0.2">
      <c r="A87" s="10" t="s">
        <v>104</v>
      </c>
      <c r="B87" s="10">
        <v>150000</v>
      </c>
      <c r="C87" s="10">
        <v>15000</v>
      </c>
      <c r="D87" s="10">
        <v>7</v>
      </c>
    </row>
    <row r="88" spans="1:4" ht="12.75" customHeight="1" x14ac:dyDescent="0.2">
      <c r="A88" s="10" t="s">
        <v>105</v>
      </c>
      <c r="B88" s="10">
        <v>210000</v>
      </c>
      <c r="C88" s="10">
        <v>15000</v>
      </c>
      <c r="D88" s="10">
        <v>7</v>
      </c>
    </row>
    <row r="89" spans="1:4" ht="12.75" customHeight="1" x14ac:dyDescent="0.2">
      <c r="A89" s="10" t="s">
        <v>106</v>
      </c>
      <c r="B89" s="10">
        <v>105000</v>
      </c>
      <c r="C89" s="10">
        <v>15000</v>
      </c>
      <c r="D89" s="10">
        <v>1</v>
      </c>
    </row>
    <row r="90" spans="1:4" ht="12.75" customHeight="1" x14ac:dyDescent="0.2">
      <c r="A90" s="10" t="s">
        <v>107</v>
      </c>
      <c r="B90" s="10">
        <v>750000</v>
      </c>
      <c r="C90" s="10">
        <v>25000</v>
      </c>
      <c r="D90" s="10">
        <v>2</v>
      </c>
    </row>
    <row r="91" spans="1:4" ht="12.75" customHeight="1" x14ac:dyDescent="0.2">
      <c r="A91" s="10" t="s">
        <v>108</v>
      </c>
      <c r="B91" s="10">
        <v>750000</v>
      </c>
      <c r="C91" s="10">
        <v>25000</v>
      </c>
      <c r="D91" s="10">
        <v>2</v>
      </c>
    </row>
    <row r="92" spans="1:4" ht="12.75" customHeight="1" x14ac:dyDescent="0.2">
      <c r="A92" s="10" t="s">
        <v>109</v>
      </c>
      <c r="B92" s="10">
        <v>324000</v>
      </c>
      <c r="C92" s="10">
        <v>7200</v>
      </c>
      <c r="D92" s="10">
        <v>3</v>
      </c>
    </row>
    <row r="93" spans="1:4" ht="12.75" customHeight="1" x14ac:dyDescent="0.2">
      <c r="A93" s="10" t="s">
        <v>110</v>
      </c>
      <c r="B93" s="10">
        <v>223200</v>
      </c>
      <c r="C93" s="10">
        <v>7200</v>
      </c>
      <c r="D93" s="10">
        <v>3</v>
      </c>
    </row>
    <row r="94" spans="1:4" ht="12.75" customHeight="1" x14ac:dyDescent="0.2">
      <c r="A94" s="10" t="s">
        <v>111</v>
      </c>
      <c r="B94" s="10">
        <v>270000</v>
      </c>
      <c r="C94" s="10">
        <v>15000</v>
      </c>
      <c r="D94" s="10">
        <v>7</v>
      </c>
    </row>
    <row r="95" spans="1:4" ht="12.75" customHeight="1" x14ac:dyDescent="0.2">
      <c r="A95" s="10" t="s">
        <v>112</v>
      </c>
      <c r="B95" s="10">
        <v>374400</v>
      </c>
      <c r="C95" s="10">
        <v>7200</v>
      </c>
      <c r="D95" s="10">
        <v>3</v>
      </c>
    </row>
    <row r="96" spans="1:4" ht="12.75" customHeight="1" x14ac:dyDescent="0.2">
      <c r="A96" s="10" t="s">
        <v>113</v>
      </c>
      <c r="B96" s="10">
        <v>331200</v>
      </c>
      <c r="C96" s="10">
        <v>7200</v>
      </c>
      <c r="D96" s="10">
        <v>3</v>
      </c>
    </row>
    <row r="97" spans="1:4" ht="12.75" customHeight="1" x14ac:dyDescent="0.2">
      <c r="A97" s="10" t="s">
        <v>114</v>
      </c>
      <c r="B97" s="10">
        <v>302400</v>
      </c>
      <c r="C97" s="10">
        <v>7200</v>
      </c>
      <c r="D97" s="10">
        <v>3</v>
      </c>
    </row>
    <row r="98" spans="1:4" ht="12.75" customHeight="1" x14ac:dyDescent="0.2">
      <c r="A98" s="10" t="s">
        <v>115</v>
      </c>
      <c r="B98" s="10">
        <v>195000</v>
      </c>
      <c r="C98" s="10">
        <v>15000</v>
      </c>
      <c r="D98" s="10">
        <v>1</v>
      </c>
    </row>
    <row r="99" spans="1:4" ht="12.75" customHeight="1" x14ac:dyDescent="0.2">
      <c r="A99" s="10" t="s">
        <v>116</v>
      </c>
      <c r="B99" s="10">
        <v>367200</v>
      </c>
      <c r="C99" s="10">
        <v>7200</v>
      </c>
      <c r="D99" s="10">
        <v>3</v>
      </c>
    </row>
    <row r="100" spans="1:4" ht="12.75" customHeight="1" x14ac:dyDescent="0.2">
      <c r="A100" s="10" t="s">
        <v>117</v>
      </c>
      <c r="B100" s="10">
        <v>432000</v>
      </c>
      <c r="C100" s="10">
        <v>7200</v>
      </c>
      <c r="D100" s="10">
        <v>3</v>
      </c>
    </row>
    <row r="101" spans="1:4" ht="12.75" customHeight="1" x14ac:dyDescent="0.2">
      <c r="A101" s="10" t="s">
        <v>118</v>
      </c>
      <c r="B101" s="10">
        <v>295200</v>
      </c>
      <c r="C101" s="10">
        <v>7200</v>
      </c>
      <c r="D101" s="10">
        <v>3</v>
      </c>
    </row>
    <row r="102" spans="1:4" ht="12.75" customHeight="1" x14ac:dyDescent="0.2"/>
    <row r="103" spans="1:4" ht="12.75" customHeight="1" x14ac:dyDescent="0.2"/>
    <row r="104" spans="1:4" ht="12.75" customHeight="1" x14ac:dyDescent="0.2"/>
    <row r="105" spans="1:4" ht="12.75" customHeight="1" x14ac:dyDescent="0.2"/>
    <row r="106" spans="1:4" ht="12.75" customHeight="1" x14ac:dyDescent="0.2"/>
    <row r="107" spans="1:4" ht="12.75" customHeight="1" x14ac:dyDescent="0.2"/>
    <row r="108" spans="1:4" ht="12.75" customHeight="1" x14ac:dyDescent="0.2"/>
    <row r="109" spans="1:4" ht="12.75" customHeight="1" x14ac:dyDescent="0.2"/>
    <row r="110" spans="1:4" ht="12.75" customHeight="1" x14ac:dyDescent="0.2"/>
    <row r="111" spans="1:4" ht="12.75" customHeight="1" x14ac:dyDescent="0.2"/>
    <row r="112" spans="1:4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B1000"/>
  <sheetViews>
    <sheetView workbookViewId="0"/>
  </sheetViews>
  <sheetFormatPr defaultColWidth="12.5703125" defaultRowHeight="15" customHeight="1" x14ac:dyDescent="0.2"/>
  <cols>
    <col min="1" max="1" width="10.5703125" customWidth="1"/>
    <col min="2" max="2" width="24.42578125" customWidth="1"/>
    <col min="3" max="26" width="10.5703125" customWidth="1"/>
  </cols>
  <sheetData>
    <row r="1" spans="2:2" ht="12.75" customHeight="1" x14ac:dyDescent="0.2"/>
    <row r="2" spans="2:2" ht="12.75" customHeight="1" x14ac:dyDescent="0.2"/>
    <row r="3" spans="2:2" ht="12.75" customHeight="1" x14ac:dyDescent="0.2">
      <c r="B3" s="9" t="s">
        <v>129</v>
      </c>
    </row>
    <row r="4" spans="2:2" ht="12.75" customHeight="1" x14ac:dyDescent="0.2"/>
    <row r="5" spans="2:2" ht="12.75" customHeight="1" x14ac:dyDescent="0.2">
      <c r="B5" s="9" t="s">
        <v>130</v>
      </c>
    </row>
    <row r="6" spans="2:2" ht="12.75" customHeight="1" x14ac:dyDescent="0.2"/>
    <row r="7" spans="2:2" ht="12.75" customHeight="1" x14ac:dyDescent="0.2">
      <c r="B7" s="9" t="s">
        <v>131</v>
      </c>
    </row>
    <row r="8" spans="2:2" ht="12.75" customHeight="1" x14ac:dyDescent="0.2"/>
    <row r="9" spans="2:2" ht="12.75" customHeight="1" x14ac:dyDescent="0.2"/>
    <row r="10" spans="2:2" ht="12.75" customHeight="1" x14ac:dyDescent="0.2"/>
    <row r="11" spans="2:2" ht="12.75" customHeight="1" x14ac:dyDescent="0.2"/>
    <row r="12" spans="2:2" ht="12.75" customHeight="1" x14ac:dyDescent="0.2"/>
    <row r="13" spans="2:2" ht="12.75" customHeight="1" x14ac:dyDescent="0.2"/>
    <row r="14" spans="2:2" ht="12.75" customHeight="1" x14ac:dyDescent="0.2"/>
    <row r="15" spans="2:2" ht="12.75" customHeight="1" x14ac:dyDescent="0.2"/>
    <row r="16" spans="2:2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B7"/>
  <sheetViews>
    <sheetView workbookViewId="0"/>
  </sheetViews>
  <sheetFormatPr defaultColWidth="12.5703125" defaultRowHeight="15" customHeight="1" x14ac:dyDescent="0.2"/>
  <cols>
    <col min="1" max="1" width="6.85546875" customWidth="1"/>
    <col min="2" max="2" width="99" customWidth="1"/>
  </cols>
  <sheetData>
    <row r="1" spans="1:2" x14ac:dyDescent="0.2">
      <c r="A1" s="10" t="s">
        <v>2</v>
      </c>
      <c r="B1" s="10" t="s">
        <v>132</v>
      </c>
    </row>
    <row r="2" spans="1:2" x14ac:dyDescent="0.2">
      <c r="A2" s="10" t="s">
        <v>122</v>
      </c>
      <c r="B2" s="10" t="s">
        <v>133</v>
      </c>
    </row>
    <row r="3" spans="1:2" x14ac:dyDescent="0.2">
      <c r="A3" s="10" t="s">
        <v>124</v>
      </c>
      <c r="B3" s="10" t="s">
        <v>134</v>
      </c>
    </row>
    <row r="4" spans="1:2" x14ac:dyDescent="0.2">
      <c r="A4" s="10" t="s">
        <v>125</v>
      </c>
      <c r="B4" s="10" t="s">
        <v>135</v>
      </c>
    </row>
    <row r="5" spans="1:2" x14ac:dyDescent="0.2">
      <c r="A5" s="10" t="s">
        <v>126</v>
      </c>
      <c r="B5" s="10" t="s">
        <v>136</v>
      </c>
    </row>
    <row r="6" spans="1:2" x14ac:dyDescent="0.2">
      <c r="A6" s="10" t="s">
        <v>127</v>
      </c>
      <c r="B6" s="10" t="s">
        <v>137</v>
      </c>
    </row>
    <row r="7" spans="1:2" x14ac:dyDescent="0.2">
      <c r="A7" s="10" t="s">
        <v>128</v>
      </c>
      <c r="B7" s="10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Calculator</vt:lpstr>
      <vt:lpstr>Block of Business</vt:lpstr>
      <vt:lpstr>Data</vt:lpstr>
      <vt:lpstr>Graphs</vt:lpstr>
      <vt:lpstr>Plan Descriptions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Kieran Brookes</cp:lastModifiedBy>
  <dcterms:created xsi:type="dcterms:W3CDTF">2023-04-12T21:16:18Z</dcterms:created>
  <dcterms:modified xsi:type="dcterms:W3CDTF">2025-11-18T14:37:16Z</dcterms:modified>
</cp:coreProperties>
</file>